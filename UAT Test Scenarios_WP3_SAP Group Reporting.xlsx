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apgemini-my.sharepoint.com/personal/shekhar_joshi_capgemini_com/Documents/Documents/Shekhar/I&amp;D/SCE work 2021/I&amp;D SAP - Fresher &amp; HTD - IPL/APAC - I&amp;D SAP/AFG Dubai/Testing Approach/"/>
    </mc:Choice>
  </mc:AlternateContent>
  <xr:revisionPtr revIDLastSave="14" documentId="8_{A542B980-CBAC-4B9E-A17F-97581E6F7369}" xr6:coauthVersionLast="47" xr6:coauthVersionMax="47" xr10:uidLastSave="{F1746588-9903-499B-B1AB-075D606156A5}"/>
  <bookViews>
    <workbookView xWindow="-108" yWindow="-108" windowWidth="23256" windowHeight="13896" xr2:uid="{B8846139-F414-439E-8354-0DD4C829947A}"/>
  </bookViews>
  <sheets>
    <sheet name="WP3_SAP GR Test Scenarios" sheetId="1" r:id="rId1"/>
  </sheets>
  <definedNames>
    <definedName name="_xlnm._FilterDatabase" localSheetId="0" hidden="1">'WP3_SAP GR Test Scenarios'!$A$2:$Q$81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2" i="1" l="1"/>
  <c r="A73" i="1" s="1"/>
  <c r="A74" i="1" s="1"/>
  <c r="A75" i="1" s="1"/>
  <c r="A76" i="1" s="1"/>
  <c r="A77" i="1" s="1"/>
  <c r="A78" i="1" s="1"/>
  <c r="A79" i="1" s="1"/>
  <c r="A80" i="1" s="1"/>
  <c r="A81" i="1" s="1"/>
</calcChain>
</file>

<file path=xl/sharedStrings.xml><?xml version="1.0" encoding="utf-8"?>
<sst xmlns="http://schemas.openxmlformats.org/spreadsheetml/2006/main" count="902" uniqueCount="212">
  <si>
    <t>Sr. No</t>
  </si>
  <si>
    <t>Workpackage</t>
  </si>
  <si>
    <t>Tool</t>
  </si>
  <si>
    <t>Process</t>
  </si>
  <si>
    <t>Division</t>
  </si>
  <si>
    <t>Sub Process</t>
  </si>
  <si>
    <t>Company Code</t>
  </si>
  <si>
    <t>Period</t>
  </si>
  <si>
    <t>Year</t>
  </si>
  <si>
    <t>Describe the Scenario</t>
  </si>
  <si>
    <t>Outcome</t>
  </si>
  <si>
    <t>Report used for Scenario</t>
  </si>
  <si>
    <t>Workpackages</t>
  </si>
  <si>
    <t>Description</t>
  </si>
  <si>
    <t>WP3</t>
  </si>
  <si>
    <t>GR</t>
  </si>
  <si>
    <t>Mgmt</t>
  </si>
  <si>
    <t>Group Finance</t>
  </si>
  <si>
    <t>C100_12 Consolidation</t>
  </si>
  <si>
    <t>ALL</t>
  </si>
  <si>
    <t>December/June</t>
  </si>
  <si>
    <t>2025/2026</t>
  </si>
  <si>
    <t>SAP close data transfer to C100</t>
  </si>
  <si>
    <t>SAP data fully loaded, no failures, TB matches SAP</t>
  </si>
  <si>
    <t>Source Data Extraction Report</t>
  </si>
  <si>
    <t>WP1</t>
  </si>
  <si>
    <t>FP</t>
  </si>
  <si>
    <t>SAC</t>
  </si>
  <si>
    <t>Financial Planning / Budget &amp; Actuals</t>
  </si>
  <si>
    <t>Opening balance carry forward</t>
  </si>
  <si>
    <t>Opening balances fully match with prior year closing for category having user inputs</t>
  </si>
  <si>
    <t>All Consolidations</t>
  </si>
  <si>
    <t>Ownership &amp; hierarchy validation</t>
  </si>
  <si>
    <t>Ownership is maintained/changes reflected across all categories and simplification on process</t>
  </si>
  <si>
    <t>Ownership Hierarchy</t>
  </si>
  <si>
    <t>LEG</t>
  </si>
  <si>
    <t>Legal Consolidation Group</t>
  </si>
  <si>
    <t>FX rates &amp; currency conversion</t>
  </si>
  <si>
    <t>FX rates correctly applied and currency translation packages working fine</t>
  </si>
  <si>
    <t>Status report, FX rates report, Source Data Extraction Report</t>
  </si>
  <si>
    <t>Management Consolidation Group</t>
  </si>
  <si>
    <t>OCI elimination package</t>
  </si>
  <si>
    <t>OCI intragroup balances eliminated correctly</t>
  </si>
  <si>
    <t>Status report, Source Data Extraction Report</t>
  </si>
  <si>
    <t>SEA</t>
  </si>
  <si>
    <t>SEA Legal Consolidation</t>
  </si>
  <si>
    <t>SME automated packages</t>
  </si>
  <si>
    <t>All packages run successfully, correct postings</t>
  </si>
  <si>
    <t>Status report, SME report, Source Data extraction Report</t>
  </si>
  <si>
    <t>COU</t>
  </si>
  <si>
    <t>Legal Consolidation for specific countries</t>
  </si>
  <si>
    <t>Seller / Buyer missing input check</t>
  </si>
  <si>
    <t>No Missing input % for intercompany sales data (exceptions report also available to identify), corporate template available to make changes</t>
  </si>
  <si>
    <t>Status report, Seller input combo, Buyer input combo</t>
  </si>
  <si>
    <t>CIT</t>
  </si>
  <si>
    <t>UAE CIT Consolidation</t>
  </si>
  <si>
    <t>Buyer allocation validation</t>
  </si>
  <si>
    <t>Buyer % = 100%, correctly copied, No missing inputs (exceptions report also available to identify), Reports available to copy actual/budget data for missing inputs</t>
  </si>
  <si>
    <t>Status report,  Buyer input combo, Buyer template for corporate</t>
  </si>
  <si>
    <t>RE</t>
  </si>
  <si>
    <t>Real Estate Consolidation</t>
  </si>
  <si>
    <t>Seller margin validation</t>
  </si>
  <si>
    <t>Correct margin elimination, no residual IC margin; Reports available to copy actual/budget data for missing inputs, % are appearing correctly in the report</t>
  </si>
  <si>
    <t>Status report, Seller input combo, Seller template for corporate</t>
  </si>
  <si>
    <t>Copy data C100 → C100_12</t>
  </si>
  <si>
    <t>Data copied completely with no variance all audit adjustments are appearing correctly in C100_12, opening balance is matching with C100 closing balance</t>
  </si>
  <si>
    <t>Post FX translation entries</t>
  </si>
  <si>
    <t>Fx adjustments are reflecting correctly in PL in correct account, data source, category, period, entity as required</t>
  </si>
  <si>
    <t>Post adjustment journals</t>
  </si>
  <si>
    <t>Adjustments are reflecting correctly in PL/BS in correct account, data source, category, period, entity as required</t>
  </si>
  <si>
    <t>JV approval workflow</t>
  </si>
  <si>
    <t>Entry is posted after approval, log available to see the status of entries, audit trail of postings</t>
  </si>
  <si>
    <t>Special Period Adjustments - P13 P14</t>
  </si>
  <si>
    <t>Data extraction from source system matches, clear distinction between data extracted from source system and input separately in GR, check entries are posted after approval, check results after entries posted</t>
  </si>
  <si>
    <t>P-15 audit adjustment match</t>
  </si>
  <si>
    <t>Data copied completely with no variance in P-15 audit adjustments and appearing correctly in C100_12, differences are highlighted and reconciled (like dividend account adjustments not appears in flash numbers)</t>
  </si>
  <si>
    <t>Upload-level BS &amp; CF check</t>
  </si>
  <si>
    <t>Validation rules setup in system to identify BS CF Mismatches and report available</t>
  </si>
  <si>
    <t>FSID &amp; CF mapping validation</t>
  </si>
  <si>
    <t>No missing FSIDs, CF balanced, CF mapping master data available</t>
  </si>
  <si>
    <t>Status report, Source Data Extraction Report, CF Mapping</t>
  </si>
  <si>
    <t>Run G_HM1 consolidation</t>
  </si>
  <si>
    <t>Consolidation completes successfully</t>
  </si>
  <si>
    <t>Status report, Source Data Extraction Report, Consolidated Financials divisions FRM report, Divisional performance summary FRM</t>
  </si>
  <si>
    <t>Financial statements check at consolidation level</t>
  </si>
  <si>
    <t>BS balanced, CF ties correctly, PL numbers/eliminations are appearing fine</t>
  </si>
  <si>
    <t>Status report, Source Data Extraction Report, Consolidated Financials divisions FRM report, Divisional performance summary FRM,Consolidated Financials Orient FRM, CF Bridge, CF to FS reconciliation, Consolidated Financials divisions_GHM1, Divisional exception report, Intercompany report, Local intercompany report, FRM analysis report</t>
  </si>
  <si>
    <t>FRM &amp; division review</t>
  </si>
  <si>
    <t>Key reports available to review the numbers, Variances explained and agreed by divisions, numbers aligned with current system</t>
  </si>
  <si>
    <t>Consolidated Financials divisions FRM report, Divisional performance summary FRM,Consolidated Financials Orient FRM,Divisional exception report, Local Intercompany report, FRM analysis report</t>
  </si>
  <si>
    <t>First cut release to divisions</t>
  </si>
  <si>
    <t>Divisions receive timely communication to review the numbers and timely rectification of input errors if any</t>
  </si>
  <si>
    <t>Email, Consolidated Financials divisions FRM report, Divisional performance summary FRM,Consolidated Financials Orient FRM,Divisional exception report, Local Intercompany report, FRM analysis report</t>
  </si>
  <si>
    <t>Key reports available in Fiori app and SAC</t>
  </si>
  <si>
    <t>Key reports available in reporting tools, customization possible and report matches with base data</t>
  </si>
  <si>
    <t>Check Critical reports from the List</t>
  </si>
  <si>
    <t>C200//C201/FC100/FC200/C300/C526*</t>
  </si>
  <si>
    <t>Budget / Forecast - Consolidation run</t>
  </si>
  <si>
    <t>Copy data packages</t>
  </si>
  <si>
    <t>BRM &amp; division review</t>
  </si>
  <si>
    <t>Key figures and other reports available in Fiori app and SAC</t>
  </si>
  <si>
    <t>Legal consol groups</t>
  </si>
  <si>
    <t>All</t>
  </si>
  <si>
    <t>Dec/Jun</t>
  </si>
  <si>
    <t>25/26</t>
  </si>
  <si>
    <t>Load Financial Data from DSP to GR (including all fields: movements, TP, SME inputs/data, etc)
1. Trigger data load from DSP to GR based on the specific legal consol group requirements
2. Monitor load status
3. Validate balances in GR including SME</t>
  </si>
  <si>
    <t>Data is loaded successfully with no errors; values match source data</t>
  </si>
  <si>
    <t>Balance Carry Forward to New Fiscal Year (including IFRS16)
1. Execute Balance Carry Forward task
2. Review opening balances of new fiscal year</t>
  </si>
  <si>
    <t>Opening balances equal prior year closing balances for all FS items</t>
  </si>
  <si>
    <t>Currency Translation – Local to Group Currency
1. Run automatic histroical update package
2. Update GC value manually for equity FS items movements, where needed
3. Run currency translation package
4. Review translated balances</t>
  </si>
  <si>
    <t>Currency translation on movements &amp; opening bal to be captured through separate flow types (subitem)
Currency translation on opening bal to net to 0 at consoldiated level
Amounts are translated correctly using maintained exchange rates
Manually updated GC values against equity FS items to remain unchanged</t>
  </si>
  <si>
    <t>Intercompany Matching and Reconciliation (ICMR)
1. Execute ICMR process
2. Review matched/unmatched items
3. Analyze differences</t>
  </si>
  <si>
    <t>Valid intercompany balances are matched; unmatched items are clearly identified</t>
  </si>
  <si>
    <t>Manual Journal Entry Creation
1. Create manual journal entry
2. All validations (TP, flow, etc) to be in place
3. Save and submit entry</t>
  </si>
  <si>
    <t>Journal entry is saved successfully and visible in reporting</t>
  </si>
  <si>
    <t>Consolidation Execution
1. Run consolidation process
2. Review consolidation postings</t>
  </si>
  <si>
    <t>1. intercompany elimn are executed
2. inv &amp; share capital are eliminated
3. div income &amp; div declared are eliminated
4. NCI is rightly calculated and posted
5. Equity accounted entity's results are correctly calculated and posted
6. DHM &amp; ownership updates/changes to be rightly posted (including entity addition, leaving, etc)
7. All other consolidation rules to be suitably applied (refer to current consolidation rules in BPC)</t>
  </si>
  <si>
    <t>Special Period Adjustments
1. Extract P13/P14 of CY
2. Extract P15/P16 of PY</t>
  </si>
  <si>
    <t>Adjustments appear in correct doc type/posting level with audit trail</t>
  </si>
  <si>
    <t>Ownership &amp; hierarchy validation
1. Review ownership and hierarchy
2. Add/Delete/scope changes of entities and its effects on different categories and periods</t>
  </si>
  <si>
    <t>Group reporting</t>
  </si>
  <si>
    <t>Reporting</t>
  </si>
  <si>
    <t>Real Estate</t>
  </si>
  <si>
    <t>P&amp;L reports</t>
  </si>
  <si>
    <t>Multiple</t>
  </si>
  <si>
    <t>Dec</t>
  </si>
  <si>
    <t>P&amp;L by nature is used for RE statutory reporting</t>
  </si>
  <si>
    <t xml:space="preserve">P&amp;L by nature in audited format is available in SAC </t>
  </si>
  <si>
    <t>Statutory P&amp;L</t>
  </si>
  <si>
    <t>Balance sheet</t>
  </si>
  <si>
    <t>Standalone balance sheet used for RE statutory reporting.</t>
  </si>
  <si>
    <t>Balance sheet in RE audited format is available</t>
  </si>
  <si>
    <t>Statutory Balance sheet</t>
  </si>
  <si>
    <t>Dimension filter</t>
  </si>
  <si>
    <t>Dimensions (such as asset /portfolio, time, region etc) available to users to select.</t>
  </si>
  <si>
    <t>Reports are filtered / available based on selected dimension (e.g. Q1 2026 vs. Q1 2025)</t>
  </si>
  <si>
    <t>Management P&amp;L / Balance Sheet</t>
  </si>
  <si>
    <t>Consolidation</t>
  </si>
  <si>
    <t>Manual Journal (Top Side)</t>
  </si>
  <si>
    <t>DFC Group</t>
  </si>
  <si>
    <t>Post a "Group Adjustment" journal to eliminate a specific Intercompany balance that the system missed (e.g., due to wrong TP).</t>
  </si>
  <si>
    <r>
      <t xml:space="preserve">The journal affects the </t>
    </r>
    <r>
      <rPr>
        <i/>
        <sz val="11"/>
        <color rgb="FF1F1F1F"/>
        <rFont val="Calibri"/>
        <family val="2"/>
      </rPr>
      <t>Consolidated</t>
    </r>
    <r>
      <rPr>
        <sz val="11"/>
        <color rgb="FF1F1F1F"/>
        <rFont val="Calibri"/>
        <family val="2"/>
      </rPr>
      <t xml:space="preserve"> numbers only. It must </t>
    </r>
    <r>
      <rPr>
        <b/>
        <sz val="11"/>
        <color rgb="FF1F1F1F"/>
        <rFont val="Calibri"/>
        <family val="2"/>
      </rPr>
      <t>not</t>
    </r>
    <r>
      <rPr>
        <sz val="11"/>
        <color rgb="FF1F1F1F"/>
        <rFont val="Calibri"/>
        <family val="2"/>
      </rPr>
      <t xml:space="preserve"> push back to the Local Entity data.</t>
    </r>
  </si>
  <si>
    <t>Journal Entry Report (Audit)</t>
  </si>
  <si>
    <t>Run consolidation</t>
  </si>
  <si>
    <t>Statutory consolidation for RE is run in BPC in L200.</t>
  </si>
  <si>
    <t>Statutory consolidation for RE is available in Group Reporting</t>
  </si>
  <si>
    <t>Successful running of consolidation package.</t>
  </si>
  <si>
    <t>Consolidation Eliminations</t>
  </si>
  <si>
    <t>System eliminations are recorded in different data sources.</t>
  </si>
  <si>
    <t>Traceability of elimination numbers to be available</t>
  </si>
  <si>
    <t>Elimination by category report</t>
  </si>
  <si>
    <t>Consolidation data sources</t>
  </si>
  <si>
    <t>Different data sources are used for statutory consolidation (such as AD_SLC, AD_MGC)</t>
  </si>
  <si>
    <t>Availability of different data sources with different impact (such as AD_MGC impacts consolidation only).</t>
  </si>
  <si>
    <t>Data source report</t>
  </si>
  <si>
    <t>IC Revenue / Expense Elimination</t>
  </si>
  <si>
    <t>2085 &amp; 2037</t>
  </si>
  <si>
    <t>Jan</t>
  </si>
  <si>
    <t>Entity 2085 books IC Revenue 1M to 2090. 2037 books IC Expense AED 2M to 2085. Run consolidation.</t>
  </si>
  <si>
    <t>IC Revenue and IC Expense eliminated at Group level by AED 1M (Net = 0).</t>
  </si>
  <si>
    <t>Consolidated P&amp;L</t>
  </si>
  <si>
    <t>IC Mismatch</t>
  </si>
  <si>
    <t>2085 books 1M IC Revenue; 2037books 900k IC Expense.</t>
  </si>
  <si>
    <t>100k difference appears in IC Difference report.</t>
  </si>
  <si>
    <t>IC Reconciliation Report</t>
  </si>
  <si>
    <t>Data Action</t>
  </si>
  <si>
    <t>IC AR/AP Elimination</t>
  </si>
  <si>
    <t>2085 shows IC AR; 2037 shows IC AP. Run consolidation.</t>
  </si>
  <si>
    <t>AR/AP eliminated based on AR in consolidated Balance Sheet. Difference to go in other payables</t>
  </si>
  <si>
    <t>Consolidated Balance Sheet</t>
  </si>
  <si>
    <t>Closing Rate Translation</t>
  </si>
  <si>
    <t>Translate foreign entity Balance Sheet at closing FX rate.</t>
  </si>
  <si>
    <t>CTA calculated correctly in Equity.</t>
  </si>
  <si>
    <t>Web Reporting</t>
  </si>
  <si>
    <t>Average Rate Translation</t>
  </si>
  <si>
    <t>Jan-Dec</t>
  </si>
  <si>
    <t>Translate P&amp;L at average rate.</t>
  </si>
  <si>
    <t>P&amp;L translated using average rate, not closing rate.</t>
  </si>
  <si>
    <t>FX Rate Change Impact</t>
  </si>
  <si>
    <t>Change closing FX rate and rerun consolidation.</t>
  </si>
  <si>
    <t>CTA adjusts; retained earnings unaffected.</t>
  </si>
  <si>
    <t>Consolidated Equity</t>
  </si>
  <si>
    <t>Sequential Execution</t>
  </si>
  <si>
    <t>Run elimination before currency translation.</t>
  </si>
  <si>
    <t>System enforces required consolidation sequence.</t>
  </si>
  <si>
    <t>Consolidation Monitor</t>
  </si>
  <si>
    <t>Partial Entity Failure</t>
  </si>
  <si>
    <t>One entity missing data during consolidation.</t>
  </si>
  <si>
    <t>Consolidation fails or flags incomplete status.</t>
  </si>
  <si>
    <t>Consolidation Log</t>
  </si>
  <si>
    <t>Lock After Consolidation</t>
  </si>
  <si>
    <t>Approve consolidated results. Attempt adjustment.</t>
  </si>
  <si>
    <t>Period locked; adjustment requires reopening.</t>
  </si>
  <si>
    <t>Workflow reports</t>
  </si>
  <si>
    <t>Re-run Consolidation</t>
  </si>
  <si>
    <t>Re-run consolidation after adjustment in one entity.</t>
  </si>
  <si>
    <t>Previous elimination reversed and recalculated cleanly.</t>
  </si>
  <si>
    <t>Consolidated Trial Balance</t>
  </si>
  <si>
    <t>Extract Group Trial Balance post consolidation.</t>
  </si>
  <si>
    <t>Total Debits = Total Credits.</t>
  </si>
  <si>
    <t>Ownership structure</t>
  </si>
  <si>
    <t>Legal ownership structure is maintained in Group Reporting.</t>
  </si>
  <si>
    <t>Consolidation is based on legal ownership structure.</t>
  </si>
  <si>
    <t>Consolidated P&amp;L and Balance Sheet</t>
  </si>
  <si>
    <t>FSSC</t>
  </si>
  <si>
    <t>December</t>
  </si>
  <si>
    <t>SAP close data transfer to BPC</t>
  </si>
  <si>
    <t>Performed for all entities and regions scoped in for 2250 retail SEA consolidation</t>
  </si>
  <si>
    <t>Balance Carry Forward to New Fiscal Year
1. Execute Balance Carry Forward task
2. Review opening balances of new fiscal year</t>
  </si>
  <si>
    <t>NotPossible</t>
  </si>
  <si>
    <t>1. intercompany elimn are executed
2. inv &amp; share capital are eliminated
3. div income &amp; div declared are eliminated
4. NCI is rightly calculated and posted
5. Equity accounted entity's results are correctly calculated and posted
6. Ownership updates/changes to be rightly posted (including entity addition, leaving, etc)
7. All other consolidation rules to be suitably applied (refer to current consolidation rules in BPC)</t>
  </si>
  <si>
    <t>Intercompany Matching and Reconciliation (ICMR)
1. Execute ICMR process
2. Review matched/unmatched items
3. Analyse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</si>
</sst>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0"/>
      <color theme="1"/>
      <name val="Arial"/>
      <family val="2"/>
    </font>
    <font>
      <i/>
      <sz val="11"/>
      <color rgb="FF1F1F1F"/>
      <name val="Calibri"/>
      <family val="2"/>
    </font>
    <font>
      <sz val="11"/>
      <color rgb="FF1F1F1F"/>
      <name val="Calibri"/>
      <family val="2"/>
    </font>
    <font>
      <b/>
      <sz val="11"/>
      <color rgb="FF1F1F1F"/>
      <name val="Calibri"/>
      <family val="2"/>
    </font>
    <font>
      <sz val="11"/>
      <color rgb="FF000000"/>
      <name val="Aptos Narrow"/>
      <family val="2"/>
    </font>
    <font>
      <sz val="10"/>
      <color rgb="FF000000"/>
      <name val="Arial"/>
      <family val="2"/>
    </font>
    <font>
      <i/>
      <sz val="11"/>
      <color rgb="FF000000"/>
      <name val="Aptos Narrow"/>
      <family val="2"/>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FFFF"/>
        <bgColor rgb="FF000000"/>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1" fillId="0" borderId="1" xfId="0" applyFont="1" applyBorder="1" applyAlignment="1">
      <alignment vertical="center"/>
    </xf>
    <xf numFmtId="0" fontId="0" fillId="0" borderId="1" xfId="0"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6" fillId="0" borderId="1" xfId="0" applyFont="1" applyBorder="1" applyAlignment="1">
      <alignment vertical="top"/>
    </xf>
    <xf numFmtId="0" fontId="6" fillId="0" borderId="2" xfId="0" applyFont="1" applyBorder="1" applyAlignment="1">
      <alignment vertical="top"/>
    </xf>
    <xf numFmtId="0" fontId="7" fillId="4" borderId="2" xfId="0" applyFont="1" applyFill="1" applyBorder="1" applyAlignment="1">
      <alignment vertical="top" wrapText="1"/>
    </xf>
    <xf numFmtId="0" fontId="6" fillId="4" borderId="2" xfId="0" applyFont="1" applyFill="1" applyBorder="1" applyAlignment="1">
      <alignment vertical="top" wrapText="1"/>
    </xf>
    <xf numFmtId="0" fontId="8" fillId="0" borderId="0" xfId="0" applyFont="1" applyAlignment="1">
      <alignment vertical="top" wrapText="1"/>
    </xf>
    <xf numFmtId="0" fontId="6" fillId="0" borderId="3" xfId="0" applyFont="1" applyBorder="1" applyAlignment="1">
      <alignment vertical="top"/>
    </xf>
    <xf numFmtId="0" fontId="7" fillId="4" borderId="3" xfId="0" applyFont="1" applyFill="1" applyBorder="1" applyAlignment="1">
      <alignment vertical="top" wrapText="1"/>
    </xf>
    <xf numFmtId="0" fontId="6" fillId="4" borderId="3" xfId="0" applyFont="1" applyFill="1" applyBorder="1" applyAlignment="1">
      <alignment vertical="top" wrapText="1"/>
    </xf>
    <xf numFmtId="0" fontId="7" fillId="3" borderId="3" xfId="0" applyFont="1" applyFill="1" applyBorder="1" applyAlignment="1">
      <alignment vertical="top" wrapText="1"/>
    </xf>
    <xf numFmtId="0" fontId="7" fillId="0" borderId="3" xfId="0" applyFont="1" applyBorder="1" applyAlignment="1">
      <alignment vertical="top" wrapText="1"/>
    </xf>
    <xf numFmtId="0" fontId="6" fillId="0" borderId="3" xfId="0" applyFont="1" applyBorder="1" applyAlignment="1">
      <alignment vertical="top" wrapText="1"/>
    </xf>
    <xf numFmtId="0" fontId="0" fillId="0" borderId="0" xfId="0" applyAlignment="1">
      <alignment vertical="center" wrapText="1"/>
    </xf>
    <xf numFmtId="0" fontId="1" fillId="5"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83CA-23D8-45F7-8F17-B21F24295238}">
  <dimension ref="A1:Q81"/>
  <sheetViews>
    <sheetView tabSelected="1" workbookViewId="0">
      <pane xSplit="10" ySplit="2" topLeftCell="L3" activePane="bottomRight" state="frozen"/>
      <selection pane="topRight" activeCell="K1" sqref="K1"/>
      <selection pane="bottomLeft" activeCell="A3" sqref="A3"/>
      <selection pane="bottomRight" activeCell="L10" sqref="L10"/>
    </sheetView>
  </sheetViews>
  <sheetFormatPr defaultRowHeight="14.4" x14ac:dyDescent="0.3"/>
  <cols>
    <col min="1" max="1" width="6.44140625" bestFit="1" customWidth="1"/>
    <col min="2" max="2" width="10.109375" customWidth="1"/>
    <col min="3" max="3" width="5.44140625" customWidth="1"/>
    <col min="4" max="4" width="9.5546875" customWidth="1"/>
    <col min="5" max="5" width="14" bestFit="1" customWidth="1"/>
    <col min="6" max="6" width="22" customWidth="1"/>
    <col min="7" max="7" width="8.88671875" customWidth="1"/>
    <col min="8" max="8" width="14.33203125" bestFit="1" customWidth="1"/>
    <col min="9" max="9" width="10.109375" customWidth="1"/>
    <col min="10" max="10" width="28.5546875" customWidth="1"/>
    <col min="11" max="11" width="44.109375" customWidth="1"/>
    <col min="12" max="12" width="36.33203125" style="18" bestFit="1" customWidth="1"/>
    <col min="13" max="13" width="36.5546875" bestFit="1" customWidth="1"/>
    <col min="14" max="14" width="14.33203125" bestFit="1" customWidth="1"/>
    <col min="15" max="15" width="8.33203125" bestFit="1" customWidth="1"/>
    <col min="16" max="16" width="4.6640625" bestFit="1" customWidth="1"/>
    <col min="17" max="17" width="38.33203125" bestFit="1" customWidth="1"/>
  </cols>
  <sheetData>
    <row r="1" spans="1:17" x14ac:dyDescent="0.3">
      <c r="L1"/>
    </row>
    <row r="2" spans="1:17" x14ac:dyDescent="0.3">
      <c r="A2" s="19" t="s">
        <v>0</v>
      </c>
      <c r="B2" s="19" t="s">
        <v>1</v>
      </c>
      <c r="C2" s="19" t="s">
        <v>2</v>
      </c>
      <c r="D2" s="19" t="s">
        <v>3</v>
      </c>
      <c r="E2" s="19" t="s">
        <v>4</v>
      </c>
      <c r="F2" s="19" t="s">
        <v>5</v>
      </c>
      <c r="G2" s="19" t="s">
        <v>6</v>
      </c>
      <c r="H2" s="19" t="s">
        <v>7</v>
      </c>
      <c r="I2" s="19" t="s">
        <v>8</v>
      </c>
      <c r="J2" s="19" t="s">
        <v>9</v>
      </c>
      <c r="K2" s="19" t="s">
        <v>10</v>
      </c>
      <c r="L2" s="19" t="s">
        <v>11</v>
      </c>
      <c r="N2" s="1" t="s">
        <v>12</v>
      </c>
      <c r="O2" s="1" t="s">
        <v>3</v>
      </c>
      <c r="P2" s="1" t="s">
        <v>2</v>
      </c>
      <c r="Q2" s="1" t="s">
        <v>13</v>
      </c>
    </row>
    <row r="3" spans="1:17" ht="26.4" customHeight="1" x14ac:dyDescent="0.3">
      <c r="A3" s="2">
        <v>1</v>
      </c>
      <c r="B3" s="2" t="s">
        <v>14</v>
      </c>
      <c r="C3" s="2" t="s">
        <v>15</v>
      </c>
      <c r="D3" s="2" t="s">
        <v>16</v>
      </c>
      <c r="E3" s="2" t="s">
        <v>17</v>
      </c>
      <c r="F3" s="2" t="s">
        <v>18</v>
      </c>
      <c r="G3" s="2" t="s">
        <v>19</v>
      </c>
      <c r="H3" s="2" t="s">
        <v>20</v>
      </c>
      <c r="I3" s="2" t="s">
        <v>21</v>
      </c>
      <c r="J3" s="3" t="s">
        <v>22</v>
      </c>
      <c r="K3" s="3" t="s">
        <v>23</v>
      </c>
      <c r="L3" s="4" t="s">
        <v>24</v>
      </c>
      <c r="N3" s="2" t="s">
        <v>25</v>
      </c>
      <c r="O3" s="2" t="s">
        <v>26</v>
      </c>
      <c r="P3" s="2" t="s">
        <v>27</v>
      </c>
      <c r="Q3" s="2" t="s">
        <v>28</v>
      </c>
    </row>
    <row r="4" spans="1:17" ht="26.4" x14ac:dyDescent="0.3">
      <c r="A4" s="2">
        <v>2</v>
      </c>
      <c r="B4" s="2" t="s">
        <v>14</v>
      </c>
      <c r="C4" s="2" t="s">
        <v>15</v>
      </c>
      <c r="D4" s="2" t="s">
        <v>16</v>
      </c>
      <c r="E4" s="2" t="s">
        <v>17</v>
      </c>
      <c r="F4" s="2" t="s">
        <v>18</v>
      </c>
      <c r="G4" s="2" t="s">
        <v>19</v>
      </c>
      <c r="H4" s="2" t="s">
        <v>20</v>
      </c>
      <c r="I4" s="2" t="s">
        <v>21</v>
      </c>
      <c r="J4" s="3" t="s">
        <v>29</v>
      </c>
      <c r="K4" s="3" t="s">
        <v>30</v>
      </c>
      <c r="L4" s="4" t="s">
        <v>24</v>
      </c>
      <c r="N4" s="2" t="s">
        <v>14</v>
      </c>
      <c r="O4" s="2" t="s">
        <v>19</v>
      </c>
      <c r="P4" s="2" t="s">
        <v>15</v>
      </c>
      <c r="Q4" s="2" t="s">
        <v>31</v>
      </c>
    </row>
    <row r="5" spans="1:17" ht="26.4" x14ac:dyDescent="0.3">
      <c r="A5" s="2">
        <v>3</v>
      </c>
      <c r="B5" s="2" t="s">
        <v>14</v>
      </c>
      <c r="C5" s="2" t="s">
        <v>15</v>
      </c>
      <c r="D5" s="2" t="s">
        <v>16</v>
      </c>
      <c r="E5" s="2" t="s">
        <v>17</v>
      </c>
      <c r="F5" s="2" t="s">
        <v>18</v>
      </c>
      <c r="G5" s="2" t="s">
        <v>19</v>
      </c>
      <c r="H5" s="2" t="s">
        <v>20</v>
      </c>
      <c r="I5" s="2" t="s">
        <v>21</v>
      </c>
      <c r="J5" s="3" t="s">
        <v>32</v>
      </c>
      <c r="K5" s="3" t="s">
        <v>33</v>
      </c>
      <c r="L5" s="4" t="s">
        <v>34</v>
      </c>
      <c r="N5" s="2" t="s">
        <v>14</v>
      </c>
      <c r="O5" s="2" t="s">
        <v>35</v>
      </c>
      <c r="P5" s="2" t="s">
        <v>15</v>
      </c>
      <c r="Q5" s="2" t="s">
        <v>36</v>
      </c>
    </row>
    <row r="6" spans="1:17" ht="28.8" x14ac:dyDescent="0.3">
      <c r="A6" s="2">
        <v>4</v>
      </c>
      <c r="B6" s="2" t="s">
        <v>14</v>
      </c>
      <c r="C6" s="2" t="s">
        <v>15</v>
      </c>
      <c r="D6" s="2" t="s">
        <v>16</v>
      </c>
      <c r="E6" s="2" t="s">
        <v>17</v>
      </c>
      <c r="F6" s="2" t="s">
        <v>18</v>
      </c>
      <c r="G6" s="2" t="s">
        <v>19</v>
      </c>
      <c r="H6" s="2" t="s">
        <v>20</v>
      </c>
      <c r="I6" s="2" t="s">
        <v>21</v>
      </c>
      <c r="J6" s="3" t="s">
        <v>37</v>
      </c>
      <c r="K6" s="3" t="s">
        <v>38</v>
      </c>
      <c r="L6" s="4" t="s">
        <v>39</v>
      </c>
      <c r="N6" s="2" t="s">
        <v>14</v>
      </c>
      <c r="O6" s="2" t="s">
        <v>16</v>
      </c>
      <c r="P6" s="2" t="s">
        <v>15</v>
      </c>
      <c r="Q6" s="2" t="s">
        <v>40</v>
      </c>
    </row>
    <row r="7" spans="1:17" ht="28.8" x14ac:dyDescent="0.3">
      <c r="A7" s="2">
        <v>5</v>
      </c>
      <c r="B7" s="2" t="s">
        <v>14</v>
      </c>
      <c r="C7" s="2" t="s">
        <v>15</v>
      </c>
      <c r="D7" s="2" t="s">
        <v>16</v>
      </c>
      <c r="E7" s="2" t="s">
        <v>17</v>
      </c>
      <c r="F7" s="2" t="s">
        <v>18</v>
      </c>
      <c r="G7" s="2" t="s">
        <v>19</v>
      </c>
      <c r="H7" s="2" t="s">
        <v>20</v>
      </c>
      <c r="I7" s="2" t="s">
        <v>21</v>
      </c>
      <c r="J7" s="3" t="s">
        <v>41</v>
      </c>
      <c r="K7" s="3" t="s">
        <v>42</v>
      </c>
      <c r="L7" s="4" t="s">
        <v>43</v>
      </c>
      <c r="N7" s="2" t="s">
        <v>14</v>
      </c>
      <c r="O7" s="2" t="s">
        <v>44</v>
      </c>
      <c r="P7" s="2" t="s">
        <v>15</v>
      </c>
      <c r="Q7" s="2" t="s">
        <v>45</v>
      </c>
    </row>
    <row r="8" spans="1:17" ht="28.8" x14ac:dyDescent="0.3">
      <c r="A8" s="2">
        <v>6</v>
      </c>
      <c r="B8" s="2" t="s">
        <v>14</v>
      </c>
      <c r="C8" s="2" t="s">
        <v>15</v>
      </c>
      <c r="D8" s="2" t="s">
        <v>16</v>
      </c>
      <c r="E8" s="2" t="s">
        <v>17</v>
      </c>
      <c r="F8" s="2" t="s">
        <v>18</v>
      </c>
      <c r="G8" s="2" t="s">
        <v>19</v>
      </c>
      <c r="H8" s="2" t="s">
        <v>20</v>
      </c>
      <c r="I8" s="2" t="s">
        <v>21</v>
      </c>
      <c r="J8" s="5" t="s">
        <v>46</v>
      </c>
      <c r="K8" s="3" t="s">
        <v>47</v>
      </c>
      <c r="L8" s="4" t="s">
        <v>48</v>
      </c>
      <c r="M8" t="s">
        <v>25</v>
      </c>
      <c r="N8" s="2" t="s">
        <v>14</v>
      </c>
      <c r="O8" s="2" t="s">
        <v>49</v>
      </c>
      <c r="P8" s="2" t="s">
        <v>15</v>
      </c>
      <c r="Q8" s="2" t="s">
        <v>50</v>
      </c>
    </row>
    <row r="9" spans="1:17" ht="39.6" x14ac:dyDescent="0.3">
      <c r="A9" s="2">
        <v>7</v>
      </c>
      <c r="B9" s="2" t="s">
        <v>14</v>
      </c>
      <c r="C9" s="2" t="s">
        <v>15</v>
      </c>
      <c r="D9" s="2" t="s">
        <v>16</v>
      </c>
      <c r="E9" s="2" t="s">
        <v>17</v>
      </c>
      <c r="F9" s="2" t="s">
        <v>18</v>
      </c>
      <c r="G9" s="2" t="s">
        <v>19</v>
      </c>
      <c r="H9" s="2" t="s">
        <v>20</v>
      </c>
      <c r="I9" s="2" t="s">
        <v>21</v>
      </c>
      <c r="J9" s="5" t="s">
        <v>51</v>
      </c>
      <c r="K9" s="3" t="s">
        <v>52</v>
      </c>
      <c r="L9" s="4" t="s">
        <v>53</v>
      </c>
      <c r="M9" t="s">
        <v>25</v>
      </c>
      <c r="N9" s="2" t="s">
        <v>14</v>
      </c>
      <c r="O9" s="2" t="s">
        <v>54</v>
      </c>
      <c r="P9" s="2" t="s">
        <v>15</v>
      </c>
      <c r="Q9" s="2" t="s">
        <v>55</v>
      </c>
    </row>
    <row r="10" spans="1:17" ht="52.8" x14ac:dyDescent="0.3">
      <c r="A10" s="2">
        <v>8</v>
      </c>
      <c r="B10" s="2" t="s">
        <v>14</v>
      </c>
      <c r="C10" s="2" t="s">
        <v>15</v>
      </c>
      <c r="D10" s="2" t="s">
        <v>16</v>
      </c>
      <c r="E10" s="2" t="s">
        <v>17</v>
      </c>
      <c r="F10" s="2" t="s">
        <v>18</v>
      </c>
      <c r="G10" s="2" t="s">
        <v>19</v>
      </c>
      <c r="H10" s="2" t="s">
        <v>20</v>
      </c>
      <c r="I10" s="2" t="s">
        <v>21</v>
      </c>
      <c r="J10" s="5" t="s">
        <v>56</v>
      </c>
      <c r="K10" s="3" t="s">
        <v>57</v>
      </c>
      <c r="L10" s="4" t="s">
        <v>58</v>
      </c>
      <c r="M10" t="s">
        <v>25</v>
      </c>
      <c r="N10" s="2" t="s">
        <v>14</v>
      </c>
      <c r="O10" s="2" t="s">
        <v>59</v>
      </c>
      <c r="P10" s="2" t="s">
        <v>15</v>
      </c>
      <c r="Q10" s="2" t="s">
        <v>60</v>
      </c>
    </row>
    <row r="11" spans="1:17" ht="52.8" x14ac:dyDescent="0.3">
      <c r="A11" s="2">
        <v>9</v>
      </c>
      <c r="B11" s="2" t="s">
        <v>14</v>
      </c>
      <c r="C11" s="2" t="s">
        <v>15</v>
      </c>
      <c r="D11" s="2" t="s">
        <v>16</v>
      </c>
      <c r="E11" s="2" t="s">
        <v>17</v>
      </c>
      <c r="F11" s="2" t="s">
        <v>18</v>
      </c>
      <c r="G11" s="2" t="s">
        <v>19</v>
      </c>
      <c r="H11" s="2" t="s">
        <v>20</v>
      </c>
      <c r="I11" s="2" t="s">
        <v>21</v>
      </c>
      <c r="J11" s="5" t="s">
        <v>61</v>
      </c>
      <c r="K11" s="3" t="s">
        <v>62</v>
      </c>
      <c r="L11" s="4" t="s">
        <v>63</v>
      </c>
      <c r="M11" t="s">
        <v>25</v>
      </c>
    </row>
    <row r="12" spans="1:17" ht="52.8" x14ac:dyDescent="0.3">
      <c r="A12" s="2">
        <v>10</v>
      </c>
      <c r="B12" s="2" t="s">
        <v>14</v>
      </c>
      <c r="C12" s="2" t="s">
        <v>15</v>
      </c>
      <c r="D12" s="2" t="s">
        <v>16</v>
      </c>
      <c r="E12" s="2" t="s">
        <v>17</v>
      </c>
      <c r="F12" s="2" t="s">
        <v>18</v>
      </c>
      <c r="G12" s="2" t="s">
        <v>19</v>
      </c>
      <c r="H12" s="2" t="s">
        <v>20</v>
      </c>
      <c r="I12" s="2" t="s">
        <v>21</v>
      </c>
      <c r="J12" s="3" t="s">
        <v>64</v>
      </c>
      <c r="K12" s="3" t="s">
        <v>65</v>
      </c>
      <c r="L12" s="4" t="s">
        <v>43</v>
      </c>
    </row>
    <row r="13" spans="1:17" ht="39.6" x14ac:dyDescent="0.3">
      <c r="A13" s="2">
        <v>11</v>
      </c>
      <c r="B13" s="2" t="s">
        <v>14</v>
      </c>
      <c r="C13" s="2" t="s">
        <v>15</v>
      </c>
      <c r="D13" s="2" t="s">
        <v>16</v>
      </c>
      <c r="E13" s="2" t="s">
        <v>17</v>
      </c>
      <c r="F13" s="2" t="s">
        <v>18</v>
      </c>
      <c r="G13" s="2" t="s">
        <v>19</v>
      </c>
      <c r="H13" s="2" t="s">
        <v>20</v>
      </c>
      <c r="I13" s="2" t="s">
        <v>21</v>
      </c>
      <c r="J13" s="3" t="s">
        <v>66</v>
      </c>
      <c r="K13" s="3" t="s">
        <v>67</v>
      </c>
      <c r="L13" s="4" t="s">
        <v>43</v>
      </c>
    </row>
    <row r="14" spans="1:17" ht="39.6" x14ac:dyDescent="0.3">
      <c r="A14" s="2">
        <v>12</v>
      </c>
      <c r="B14" s="2" t="s">
        <v>14</v>
      </c>
      <c r="C14" s="2" t="s">
        <v>15</v>
      </c>
      <c r="D14" s="2" t="s">
        <v>16</v>
      </c>
      <c r="E14" s="2" t="s">
        <v>17</v>
      </c>
      <c r="F14" s="2" t="s">
        <v>18</v>
      </c>
      <c r="G14" s="2" t="s">
        <v>19</v>
      </c>
      <c r="H14" s="2" t="s">
        <v>20</v>
      </c>
      <c r="I14" s="2" t="s">
        <v>21</v>
      </c>
      <c r="J14" s="3" t="s">
        <v>68</v>
      </c>
      <c r="K14" s="3" t="s">
        <v>69</v>
      </c>
      <c r="L14" s="4" t="s">
        <v>43</v>
      </c>
    </row>
    <row r="15" spans="1:17" ht="28.8" x14ac:dyDescent="0.3">
      <c r="A15" s="2">
        <v>13</v>
      </c>
      <c r="B15" s="2" t="s">
        <v>14</v>
      </c>
      <c r="C15" s="2" t="s">
        <v>15</v>
      </c>
      <c r="D15" s="2" t="s">
        <v>16</v>
      </c>
      <c r="E15" s="2" t="s">
        <v>17</v>
      </c>
      <c r="F15" s="2" t="s">
        <v>18</v>
      </c>
      <c r="G15" s="2" t="s">
        <v>19</v>
      </c>
      <c r="H15" s="2" t="s">
        <v>20</v>
      </c>
      <c r="I15" s="2" t="s">
        <v>21</v>
      </c>
      <c r="J15" s="6" t="s">
        <v>70</v>
      </c>
      <c r="K15" s="3" t="s">
        <v>71</v>
      </c>
      <c r="L15" s="4" t="s">
        <v>43</v>
      </c>
    </row>
    <row r="16" spans="1:17" ht="66" x14ac:dyDescent="0.3">
      <c r="A16" s="2">
        <v>14</v>
      </c>
      <c r="B16" s="2" t="s">
        <v>14</v>
      </c>
      <c r="C16" s="2" t="s">
        <v>15</v>
      </c>
      <c r="D16" s="2" t="s">
        <v>16</v>
      </c>
      <c r="E16" s="2" t="s">
        <v>17</v>
      </c>
      <c r="F16" s="2" t="s">
        <v>18</v>
      </c>
      <c r="G16" s="2" t="s">
        <v>19</v>
      </c>
      <c r="H16" s="2" t="s">
        <v>20</v>
      </c>
      <c r="I16" s="2" t="s">
        <v>21</v>
      </c>
      <c r="J16" s="3" t="s">
        <v>72</v>
      </c>
      <c r="K16" s="3" t="s">
        <v>73</v>
      </c>
      <c r="L16" s="4" t="s">
        <v>43</v>
      </c>
    </row>
    <row r="17" spans="1:13" ht="66" x14ac:dyDescent="0.3">
      <c r="A17" s="2">
        <v>15</v>
      </c>
      <c r="B17" s="2" t="s">
        <v>14</v>
      </c>
      <c r="C17" s="2" t="s">
        <v>15</v>
      </c>
      <c r="D17" s="2" t="s">
        <v>16</v>
      </c>
      <c r="E17" s="2" t="s">
        <v>17</v>
      </c>
      <c r="F17" s="2" t="s">
        <v>18</v>
      </c>
      <c r="G17" s="2" t="s">
        <v>19</v>
      </c>
      <c r="H17" s="2" t="s">
        <v>20</v>
      </c>
      <c r="I17" s="2" t="s">
        <v>21</v>
      </c>
      <c r="J17" s="3" t="s">
        <v>74</v>
      </c>
      <c r="K17" s="3" t="s">
        <v>75</v>
      </c>
      <c r="L17" s="4" t="s">
        <v>43</v>
      </c>
    </row>
    <row r="18" spans="1:13" ht="28.8" x14ac:dyDescent="0.3">
      <c r="A18" s="2">
        <v>16</v>
      </c>
      <c r="B18" s="2" t="s">
        <v>14</v>
      </c>
      <c r="C18" s="2" t="s">
        <v>15</v>
      </c>
      <c r="D18" s="2" t="s">
        <v>16</v>
      </c>
      <c r="E18" s="2" t="s">
        <v>17</v>
      </c>
      <c r="F18" s="2" t="s">
        <v>18</v>
      </c>
      <c r="G18" s="2" t="s">
        <v>19</v>
      </c>
      <c r="H18" s="2" t="s">
        <v>20</v>
      </c>
      <c r="I18" s="2" t="s">
        <v>21</v>
      </c>
      <c r="J18" s="3" t="s">
        <v>76</v>
      </c>
      <c r="K18" s="3" t="s">
        <v>77</v>
      </c>
      <c r="L18" s="4" t="s">
        <v>43</v>
      </c>
    </row>
    <row r="19" spans="1:13" ht="28.8" x14ac:dyDescent="0.3">
      <c r="A19" s="2">
        <v>17</v>
      </c>
      <c r="B19" s="2" t="s">
        <v>14</v>
      </c>
      <c r="C19" s="2" t="s">
        <v>15</v>
      </c>
      <c r="D19" s="2" t="s">
        <v>16</v>
      </c>
      <c r="E19" s="2" t="s">
        <v>17</v>
      </c>
      <c r="F19" s="2" t="s">
        <v>18</v>
      </c>
      <c r="G19" s="2" t="s">
        <v>19</v>
      </c>
      <c r="H19" s="2" t="s">
        <v>20</v>
      </c>
      <c r="I19" s="2" t="s">
        <v>21</v>
      </c>
      <c r="J19" s="3" t="s">
        <v>78</v>
      </c>
      <c r="K19" s="3" t="s">
        <v>79</v>
      </c>
      <c r="L19" s="4" t="s">
        <v>80</v>
      </c>
    </row>
    <row r="20" spans="1:13" ht="57.6" x14ac:dyDescent="0.3">
      <c r="A20" s="2">
        <v>18</v>
      </c>
      <c r="B20" s="2" t="s">
        <v>14</v>
      </c>
      <c r="C20" s="2" t="s">
        <v>15</v>
      </c>
      <c r="D20" s="2" t="s">
        <v>16</v>
      </c>
      <c r="E20" s="2" t="s">
        <v>17</v>
      </c>
      <c r="F20" s="2" t="s">
        <v>18</v>
      </c>
      <c r="G20" s="2" t="s">
        <v>19</v>
      </c>
      <c r="H20" s="2" t="s">
        <v>20</v>
      </c>
      <c r="I20" s="2" t="s">
        <v>21</v>
      </c>
      <c r="J20" s="3" t="s">
        <v>81</v>
      </c>
      <c r="K20" s="3" t="s">
        <v>82</v>
      </c>
      <c r="L20" s="4" t="s">
        <v>83</v>
      </c>
    </row>
    <row r="21" spans="1:13" ht="129.6" x14ac:dyDescent="0.3">
      <c r="A21" s="2">
        <v>19</v>
      </c>
      <c r="B21" s="2" t="s">
        <v>14</v>
      </c>
      <c r="C21" s="2" t="s">
        <v>15</v>
      </c>
      <c r="D21" s="2" t="s">
        <v>16</v>
      </c>
      <c r="E21" s="2" t="s">
        <v>17</v>
      </c>
      <c r="F21" s="2" t="s">
        <v>18</v>
      </c>
      <c r="G21" s="2" t="s">
        <v>19</v>
      </c>
      <c r="H21" s="2" t="s">
        <v>20</v>
      </c>
      <c r="I21" s="2" t="s">
        <v>21</v>
      </c>
      <c r="J21" s="3" t="s">
        <v>84</v>
      </c>
      <c r="K21" s="3" t="s">
        <v>85</v>
      </c>
      <c r="L21" s="4" t="s">
        <v>86</v>
      </c>
    </row>
    <row r="22" spans="1:13" ht="72" x14ac:dyDescent="0.3">
      <c r="A22" s="2">
        <v>20</v>
      </c>
      <c r="B22" s="2" t="s">
        <v>14</v>
      </c>
      <c r="C22" s="2" t="s">
        <v>15</v>
      </c>
      <c r="D22" s="2" t="s">
        <v>16</v>
      </c>
      <c r="E22" s="2" t="s">
        <v>17</v>
      </c>
      <c r="F22" s="2" t="s">
        <v>18</v>
      </c>
      <c r="G22" s="2" t="s">
        <v>19</v>
      </c>
      <c r="H22" s="2" t="s">
        <v>20</v>
      </c>
      <c r="I22" s="2" t="s">
        <v>21</v>
      </c>
      <c r="J22" s="3" t="s">
        <v>87</v>
      </c>
      <c r="K22" s="3" t="s">
        <v>88</v>
      </c>
      <c r="L22" s="4" t="s">
        <v>89</v>
      </c>
    </row>
    <row r="23" spans="1:13" ht="86.4" x14ac:dyDescent="0.3">
      <c r="A23" s="2">
        <v>21</v>
      </c>
      <c r="B23" s="2" t="s">
        <v>14</v>
      </c>
      <c r="C23" s="2" t="s">
        <v>15</v>
      </c>
      <c r="D23" s="2" t="s">
        <v>16</v>
      </c>
      <c r="E23" s="2" t="s">
        <v>17</v>
      </c>
      <c r="F23" s="2" t="s">
        <v>18</v>
      </c>
      <c r="G23" s="2" t="s">
        <v>19</v>
      </c>
      <c r="H23" s="2" t="s">
        <v>20</v>
      </c>
      <c r="I23" s="2" t="s">
        <v>21</v>
      </c>
      <c r="J23" s="3" t="s">
        <v>90</v>
      </c>
      <c r="K23" s="3" t="s">
        <v>91</v>
      </c>
      <c r="L23" s="4" t="s">
        <v>92</v>
      </c>
    </row>
    <row r="24" spans="1:13" ht="39.6" x14ac:dyDescent="0.3">
      <c r="A24" s="2">
        <v>22</v>
      </c>
      <c r="B24" s="2" t="s">
        <v>14</v>
      </c>
      <c r="C24" s="2" t="s">
        <v>15</v>
      </c>
      <c r="D24" s="2" t="s">
        <v>16</v>
      </c>
      <c r="E24" s="2" t="s">
        <v>17</v>
      </c>
      <c r="F24" s="2" t="s">
        <v>18</v>
      </c>
      <c r="G24" s="2" t="s">
        <v>19</v>
      </c>
      <c r="H24" s="2" t="s">
        <v>20</v>
      </c>
      <c r="I24" s="2" t="s">
        <v>21</v>
      </c>
      <c r="J24" s="3" t="s">
        <v>93</v>
      </c>
      <c r="K24" s="3" t="s">
        <v>94</v>
      </c>
      <c r="L24" s="4" t="s">
        <v>95</v>
      </c>
    </row>
    <row r="25" spans="1:13" ht="26.4" x14ac:dyDescent="0.3">
      <c r="A25" s="2">
        <v>23</v>
      </c>
      <c r="B25" s="2" t="s">
        <v>14</v>
      </c>
      <c r="C25" s="2" t="s">
        <v>15</v>
      </c>
      <c r="D25" s="2" t="s">
        <v>16</v>
      </c>
      <c r="E25" s="2" t="s">
        <v>17</v>
      </c>
      <c r="F25" s="2" t="s">
        <v>96</v>
      </c>
      <c r="G25" s="2" t="s">
        <v>19</v>
      </c>
      <c r="H25" s="2" t="s">
        <v>20</v>
      </c>
      <c r="I25" s="2">
        <v>2026</v>
      </c>
      <c r="J25" s="3" t="s">
        <v>29</v>
      </c>
      <c r="K25" s="3" t="s">
        <v>30</v>
      </c>
      <c r="L25" s="4" t="s">
        <v>24</v>
      </c>
      <c r="M25" t="s">
        <v>97</v>
      </c>
    </row>
    <row r="26" spans="1:13" ht="26.4" x14ac:dyDescent="0.3">
      <c r="A26" s="2">
        <v>24</v>
      </c>
      <c r="B26" s="2" t="s">
        <v>14</v>
      </c>
      <c r="C26" s="2" t="s">
        <v>15</v>
      </c>
      <c r="D26" s="2" t="s">
        <v>16</v>
      </c>
      <c r="E26" s="2" t="s">
        <v>17</v>
      </c>
      <c r="F26" s="2" t="s">
        <v>96</v>
      </c>
      <c r="G26" s="2" t="s">
        <v>19</v>
      </c>
      <c r="H26" s="2" t="s">
        <v>20</v>
      </c>
      <c r="I26" s="2">
        <v>2026</v>
      </c>
      <c r="J26" s="3" t="s">
        <v>32</v>
      </c>
      <c r="K26" s="3" t="s">
        <v>33</v>
      </c>
      <c r="L26" s="4" t="s">
        <v>34</v>
      </c>
      <c r="M26" t="s">
        <v>97</v>
      </c>
    </row>
    <row r="27" spans="1:13" ht="28.8" x14ac:dyDescent="0.3">
      <c r="A27" s="2">
        <v>25</v>
      </c>
      <c r="B27" s="2" t="s">
        <v>14</v>
      </c>
      <c r="C27" s="2" t="s">
        <v>15</v>
      </c>
      <c r="D27" s="2" t="s">
        <v>16</v>
      </c>
      <c r="E27" s="2" t="s">
        <v>17</v>
      </c>
      <c r="F27" s="2" t="s">
        <v>96</v>
      </c>
      <c r="G27" s="2" t="s">
        <v>19</v>
      </c>
      <c r="H27" s="2" t="s">
        <v>20</v>
      </c>
      <c r="I27" s="2">
        <v>2026</v>
      </c>
      <c r="J27" s="3" t="s">
        <v>37</v>
      </c>
      <c r="K27" s="3" t="s">
        <v>38</v>
      </c>
      <c r="L27" s="4" t="s">
        <v>39</v>
      </c>
      <c r="M27" t="s">
        <v>97</v>
      </c>
    </row>
    <row r="28" spans="1:13" ht="28.8" x14ac:dyDescent="0.3">
      <c r="A28" s="2">
        <v>26</v>
      </c>
      <c r="B28" s="2" t="s">
        <v>14</v>
      </c>
      <c r="C28" s="2" t="s">
        <v>15</v>
      </c>
      <c r="D28" s="2" t="s">
        <v>16</v>
      </c>
      <c r="E28" s="2" t="s">
        <v>17</v>
      </c>
      <c r="F28" s="2" t="s">
        <v>96</v>
      </c>
      <c r="G28" s="2" t="s">
        <v>19</v>
      </c>
      <c r="H28" s="2" t="s">
        <v>20</v>
      </c>
      <c r="I28" s="2">
        <v>2026</v>
      </c>
      <c r="J28" s="3" t="s">
        <v>41</v>
      </c>
      <c r="K28" s="3" t="s">
        <v>42</v>
      </c>
      <c r="L28" s="4" t="s">
        <v>43</v>
      </c>
      <c r="M28" t="s">
        <v>97</v>
      </c>
    </row>
    <row r="29" spans="1:13" ht="28.8" x14ac:dyDescent="0.3">
      <c r="A29" s="2">
        <v>27</v>
      </c>
      <c r="B29" s="2" t="s">
        <v>14</v>
      </c>
      <c r="C29" s="2" t="s">
        <v>15</v>
      </c>
      <c r="D29" s="2" t="s">
        <v>16</v>
      </c>
      <c r="E29" s="2" t="s">
        <v>17</v>
      </c>
      <c r="F29" s="2" t="s">
        <v>96</v>
      </c>
      <c r="G29" s="2" t="s">
        <v>19</v>
      </c>
      <c r="H29" s="2" t="s">
        <v>20</v>
      </c>
      <c r="I29" s="2">
        <v>2026</v>
      </c>
      <c r="J29" s="3" t="s">
        <v>46</v>
      </c>
      <c r="K29" s="3" t="s">
        <v>47</v>
      </c>
      <c r="L29" s="4" t="s">
        <v>48</v>
      </c>
      <c r="M29" t="s">
        <v>97</v>
      </c>
    </row>
    <row r="30" spans="1:13" ht="39.6" x14ac:dyDescent="0.3">
      <c r="A30" s="2">
        <v>28</v>
      </c>
      <c r="B30" s="2" t="s">
        <v>14</v>
      </c>
      <c r="C30" s="2" t="s">
        <v>15</v>
      </c>
      <c r="D30" s="2" t="s">
        <v>16</v>
      </c>
      <c r="E30" s="2" t="s">
        <v>17</v>
      </c>
      <c r="F30" s="2" t="s">
        <v>96</v>
      </c>
      <c r="G30" s="2" t="s">
        <v>19</v>
      </c>
      <c r="H30" s="2" t="s">
        <v>20</v>
      </c>
      <c r="I30" s="2">
        <v>2026</v>
      </c>
      <c r="J30" s="3" t="s">
        <v>51</v>
      </c>
      <c r="K30" s="3" t="s">
        <v>52</v>
      </c>
      <c r="L30" s="4" t="s">
        <v>53</v>
      </c>
      <c r="M30" t="s">
        <v>97</v>
      </c>
    </row>
    <row r="31" spans="1:13" ht="52.8" x14ac:dyDescent="0.3">
      <c r="A31" s="2">
        <v>29</v>
      </c>
      <c r="B31" s="2" t="s">
        <v>14</v>
      </c>
      <c r="C31" s="2" t="s">
        <v>15</v>
      </c>
      <c r="D31" s="2" t="s">
        <v>16</v>
      </c>
      <c r="E31" s="2" t="s">
        <v>17</v>
      </c>
      <c r="F31" s="2" t="s">
        <v>96</v>
      </c>
      <c r="G31" s="2" t="s">
        <v>19</v>
      </c>
      <c r="H31" s="2" t="s">
        <v>20</v>
      </c>
      <c r="I31" s="2">
        <v>2026</v>
      </c>
      <c r="J31" s="3" t="s">
        <v>56</v>
      </c>
      <c r="K31" s="3" t="s">
        <v>57</v>
      </c>
      <c r="L31" s="4" t="s">
        <v>58</v>
      </c>
      <c r="M31" t="s">
        <v>97</v>
      </c>
    </row>
    <row r="32" spans="1:13" ht="52.8" x14ac:dyDescent="0.3">
      <c r="A32" s="2">
        <v>30</v>
      </c>
      <c r="B32" s="2" t="s">
        <v>14</v>
      </c>
      <c r="C32" s="2" t="s">
        <v>15</v>
      </c>
      <c r="D32" s="2" t="s">
        <v>16</v>
      </c>
      <c r="E32" s="2" t="s">
        <v>17</v>
      </c>
      <c r="F32" s="2" t="s">
        <v>96</v>
      </c>
      <c r="G32" s="2" t="s">
        <v>19</v>
      </c>
      <c r="H32" s="2" t="s">
        <v>20</v>
      </c>
      <c r="I32" s="2">
        <v>2026</v>
      </c>
      <c r="J32" s="3" t="s">
        <v>61</v>
      </c>
      <c r="K32" s="3" t="s">
        <v>62</v>
      </c>
      <c r="L32" s="4" t="s">
        <v>63</v>
      </c>
      <c r="M32" t="s">
        <v>97</v>
      </c>
    </row>
    <row r="33" spans="1:13" ht="52.8" x14ac:dyDescent="0.3">
      <c r="A33" s="2">
        <v>31</v>
      </c>
      <c r="B33" s="2" t="s">
        <v>14</v>
      </c>
      <c r="C33" s="2" t="s">
        <v>15</v>
      </c>
      <c r="D33" s="2" t="s">
        <v>16</v>
      </c>
      <c r="E33" s="2" t="s">
        <v>17</v>
      </c>
      <c r="F33" s="2" t="s">
        <v>96</v>
      </c>
      <c r="G33" s="2" t="s">
        <v>19</v>
      </c>
      <c r="H33" s="2" t="s">
        <v>20</v>
      </c>
      <c r="I33" s="2">
        <v>2026</v>
      </c>
      <c r="J33" s="3" t="s">
        <v>98</v>
      </c>
      <c r="K33" s="3" t="s">
        <v>65</v>
      </c>
      <c r="L33" s="4" t="s">
        <v>43</v>
      </c>
      <c r="M33" t="s">
        <v>97</v>
      </c>
    </row>
    <row r="34" spans="1:13" ht="39.6" x14ac:dyDescent="0.3">
      <c r="A34" s="2">
        <v>32</v>
      </c>
      <c r="B34" s="2" t="s">
        <v>14</v>
      </c>
      <c r="C34" s="2" t="s">
        <v>15</v>
      </c>
      <c r="D34" s="2" t="s">
        <v>16</v>
      </c>
      <c r="E34" s="2" t="s">
        <v>17</v>
      </c>
      <c r="F34" s="2" t="s">
        <v>96</v>
      </c>
      <c r="G34" s="2" t="s">
        <v>19</v>
      </c>
      <c r="H34" s="2" t="s">
        <v>20</v>
      </c>
      <c r="I34" s="2">
        <v>2026</v>
      </c>
      <c r="J34" s="3" t="s">
        <v>66</v>
      </c>
      <c r="K34" s="3" t="s">
        <v>67</v>
      </c>
      <c r="L34" s="4" t="s">
        <v>43</v>
      </c>
      <c r="M34" t="s">
        <v>97</v>
      </c>
    </row>
    <row r="35" spans="1:13" ht="39.6" x14ac:dyDescent="0.3">
      <c r="A35" s="2">
        <v>33</v>
      </c>
      <c r="B35" s="2" t="s">
        <v>14</v>
      </c>
      <c r="C35" s="2" t="s">
        <v>15</v>
      </c>
      <c r="D35" s="2" t="s">
        <v>16</v>
      </c>
      <c r="E35" s="2" t="s">
        <v>17</v>
      </c>
      <c r="F35" s="2" t="s">
        <v>96</v>
      </c>
      <c r="G35" s="2" t="s">
        <v>19</v>
      </c>
      <c r="H35" s="2" t="s">
        <v>20</v>
      </c>
      <c r="I35" s="2">
        <v>2026</v>
      </c>
      <c r="J35" s="3" t="s">
        <v>68</v>
      </c>
      <c r="K35" s="3" t="s">
        <v>69</v>
      </c>
      <c r="L35" s="4" t="s">
        <v>43</v>
      </c>
      <c r="M35" t="s">
        <v>97</v>
      </c>
    </row>
    <row r="36" spans="1:13" ht="28.8" x14ac:dyDescent="0.3">
      <c r="A36" s="2">
        <v>34</v>
      </c>
      <c r="B36" s="2" t="s">
        <v>14</v>
      </c>
      <c r="C36" s="2" t="s">
        <v>15</v>
      </c>
      <c r="D36" s="2" t="s">
        <v>16</v>
      </c>
      <c r="E36" s="2" t="s">
        <v>17</v>
      </c>
      <c r="F36" s="2" t="s">
        <v>96</v>
      </c>
      <c r="G36" s="2" t="s">
        <v>19</v>
      </c>
      <c r="H36" s="2" t="s">
        <v>20</v>
      </c>
      <c r="I36" s="2">
        <v>2026</v>
      </c>
      <c r="J36" s="6" t="s">
        <v>70</v>
      </c>
      <c r="K36" s="3" t="s">
        <v>71</v>
      </c>
      <c r="L36" s="4" t="s">
        <v>43</v>
      </c>
      <c r="M36" t="s">
        <v>97</v>
      </c>
    </row>
    <row r="37" spans="1:13" ht="28.8" x14ac:dyDescent="0.3">
      <c r="A37" s="2">
        <v>35</v>
      </c>
      <c r="B37" s="2" t="s">
        <v>14</v>
      </c>
      <c r="C37" s="2" t="s">
        <v>15</v>
      </c>
      <c r="D37" s="2" t="s">
        <v>16</v>
      </c>
      <c r="E37" s="2" t="s">
        <v>17</v>
      </c>
      <c r="F37" s="2" t="s">
        <v>96</v>
      </c>
      <c r="G37" s="2" t="s">
        <v>19</v>
      </c>
      <c r="H37" s="2" t="s">
        <v>20</v>
      </c>
      <c r="I37" s="2">
        <v>2026</v>
      </c>
      <c r="J37" s="3" t="s">
        <v>76</v>
      </c>
      <c r="K37" s="3" t="s">
        <v>77</v>
      </c>
      <c r="L37" s="4" t="s">
        <v>43</v>
      </c>
      <c r="M37" t="s">
        <v>97</v>
      </c>
    </row>
    <row r="38" spans="1:13" ht="28.8" x14ac:dyDescent="0.3">
      <c r="A38" s="2">
        <v>36</v>
      </c>
      <c r="B38" s="2" t="s">
        <v>14</v>
      </c>
      <c r="C38" s="2" t="s">
        <v>15</v>
      </c>
      <c r="D38" s="2" t="s">
        <v>16</v>
      </c>
      <c r="E38" s="2" t="s">
        <v>17</v>
      </c>
      <c r="F38" s="2" t="s">
        <v>96</v>
      </c>
      <c r="G38" s="2" t="s">
        <v>19</v>
      </c>
      <c r="H38" s="2" t="s">
        <v>20</v>
      </c>
      <c r="I38" s="2">
        <v>2026</v>
      </c>
      <c r="J38" s="3" t="s">
        <v>78</v>
      </c>
      <c r="K38" s="3" t="s">
        <v>79</v>
      </c>
      <c r="L38" s="4" t="s">
        <v>80</v>
      </c>
      <c r="M38" t="s">
        <v>97</v>
      </c>
    </row>
    <row r="39" spans="1:13" ht="57.6" x14ac:dyDescent="0.3">
      <c r="A39" s="2">
        <v>37</v>
      </c>
      <c r="B39" s="2" t="s">
        <v>14</v>
      </c>
      <c r="C39" s="2" t="s">
        <v>15</v>
      </c>
      <c r="D39" s="2" t="s">
        <v>16</v>
      </c>
      <c r="E39" s="2" t="s">
        <v>17</v>
      </c>
      <c r="F39" s="2" t="s">
        <v>96</v>
      </c>
      <c r="G39" s="2" t="s">
        <v>19</v>
      </c>
      <c r="H39" s="2" t="s">
        <v>20</v>
      </c>
      <c r="I39" s="2">
        <v>2026</v>
      </c>
      <c r="J39" s="3" t="s">
        <v>81</v>
      </c>
      <c r="K39" s="3" t="s">
        <v>82</v>
      </c>
      <c r="L39" s="4" t="s">
        <v>83</v>
      </c>
      <c r="M39" t="s">
        <v>97</v>
      </c>
    </row>
    <row r="40" spans="1:13" ht="129.6" x14ac:dyDescent="0.3">
      <c r="A40" s="2">
        <v>38</v>
      </c>
      <c r="B40" s="2" t="s">
        <v>14</v>
      </c>
      <c r="C40" s="2" t="s">
        <v>15</v>
      </c>
      <c r="D40" s="2" t="s">
        <v>16</v>
      </c>
      <c r="E40" s="2" t="s">
        <v>17</v>
      </c>
      <c r="F40" s="2" t="s">
        <v>96</v>
      </c>
      <c r="G40" s="2" t="s">
        <v>19</v>
      </c>
      <c r="H40" s="2" t="s">
        <v>20</v>
      </c>
      <c r="I40" s="2">
        <v>2026</v>
      </c>
      <c r="J40" s="3" t="s">
        <v>84</v>
      </c>
      <c r="K40" s="3" t="s">
        <v>85</v>
      </c>
      <c r="L40" s="4" t="s">
        <v>86</v>
      </c>
      <c r="M40" t="s">
        <v>97</v>
      </c>
    </row>
    <row r="41" spans="1:13" ht="72" x14ac:dyDescent="0.3">
      <c r="A41" s="2">
        <v>39</v>
      </c>
      <c r="B41" s="2" t="s">
        <v>14</v>
      </c>
      <c r="C41" s="2" t="s">
        <v>15</v>
      </c>
      <c r="D41" s="2" t="s">
        <v>16</v>
      </c>
      <c r="E41" s="2" t="s">
        <v>17</v>
      </c>
      <c r="F41" s="2" t="s">
        <v>96</v>
      </c>
      <c r="G41" s="2" t="s">
        <v>19</v>
      </c>
      <c r="H41" s="2" t="s">
        <v>20</v>
      </c>
      <c r="I41" s="2">
        <v>2026</v>
      </c>
      <c r="J41" s="3" t="s">
        <v>99</v>
      </c>
      <c r="K41" s="3" t="s">
        <v>88</v>
      </c>
      <c r="L41" s="4" t="s">
        <v>89</v>
      </c>
      <c r="M41" t="s">
        <v>97</v>
      </c>
    </row>
    <row r="42" spans="1:13" ht="86.4" x14ac:dyDescent="0.3">
      <c r="A42" s="2">
        <v>40</v>
      </c>
      <c r="B42" s="2" t="s">
        <v>14</v>
      </c>
      <c r="C42" s="2" t="s">
        <v>15</v>
      </c>
      <c r="D42" s="2" t="s">
        <v>16</v>
      </c>
      <c r="E42" s="2" t="s">
        <v>17</v>
      </c>
      <c r="F42" s="2" t="s">
        <v>96</v>
      </c>
      <c r="G42" s="2" t="s">
        <v>19</v>
      </c>
      <c r="H42" s="2" t="s">
        <v>20</v>
      </c>
      <c r="I42" s="2">
        <v>2026</v>
      </c>
      <c r="J42" s="3" t="s">
        <v>90</v>
      </c>
      <c r="K42" s="3" t="s">
        <v>91</v>
      </c>
      <c r="L42" s="4" t="s">
        <v>92</v>
      </c>
      <c r="M42" t="s">
        <v>97</v>
      </c>
    </row>
    <row r="43" spans="1:13" ht="39.6" x14ac:dyDescent="0.3">
      <c r="A43" s="2">
        <v>41</v>
      </c>
      <c r="B43" s="2" t="s">
        <v>14</v>
      </c>
      <c r="C43" s="2" t="s">
        <v>15</v>
      </c>
      <c r="D43" s="2" t="s">
        <v>16</v>
      </c>
      <c r="E43" s="2" t="s">
        <v>17</v>
      </c>
      <c r="F43" s="2" t="s">
        <v>96</v>
      </c>
      <c r="G43" s="2" t="s">
        <v>19</v>
      </c>
      <c r="H43" s="2" t="s">
        <v>20</v>
      </c>
      <c r="I43" s="2">
        <v>2026</v>
      </c>
      <c r="J43" s="3" t="s">
        <v>100</v>
      </c>
      <c r="K43" s="3" t="s">
        <v>94</v>
      </c>
      <c r="L43" s="4" t="s">
        <v>95</v>
      </c>
      <c r="M43" t="s">
        <v>97</v>
      </c>
    </row>
    <row r="44" spans="1:13" ht="79.2" x14ac:dyDescent="0.3">
      <c r="A44" s="2">
        <v>42</v>
      </c>
      <c r="B44" s="2" t="s">
        <v>14</v>
      </c>
      <c r="C44" s="2" t="s">
        <v>15</v>
      </c>
      <c r="D44" s="2" t="s">
        <v>35</v>
      </c>
      <c r="E44" s="2" t="s">
        <v>17</v>
      </c>
      <c r="F44" s="2" t="s">
        <v>101</v>
      </c>
      <c r="G44" s="2" t="s">
        <v>102</v>
      </c>
      <c r="H44" s="2" t="s">
        <v>103</v>
      </c>
      <c r="I44" s="2" t="s">
        <v>104</v>
      </c>
      <c r="J44" s="3" t="s">
        <v>105</v>
      </c>
      <c r="K44" s="3" t="s">
        <v>106</v>
      </c>
      <c r="L44" s="4"/>
    </row>
    <row r="45" spans="1:13" ht="52.8" x14ac:dyDescent="0.3">
      <c r="A45" s="2">
        <v>43</v>
      </c>
      <c r="B45" s="2" t="s">
        <v>14</v>
      </c>
      <c r="C45" s="2" t="s">
        <v>15</v>
      </c>
      <c r="D45" s="2" t="s">
        <v>35</v>
      </c>
      <c r="E45" s="2" t="s">
        <v>17</v>
      </c>
      <c r="F45" s="2" t="s">
        <v>101</v>
      </c>
      <c r="G45" s="2" t="s">
        <v>102</v>
      </c>
      <c r="H45" s="2" t="s">
        <v>103</v>
      </c>
      <c r="I45" s="2" t="s">
        <v>104</v>
      </c>
      <c r="J45" s="3" t="s">
        <v>107</v>
      </c>
      <c r="K45" s="3" t="s">
        <v>108</v>
      </c>
      <c r="L45" s="4"/>
    </row>
    <row r="46" spans="1:13" ht="105.6" x14ac:dyDescent="0.3">
      <c r="A46" s="2">
        <v>44</v>
      </c>
      <c r="B46" s="2" t="s">
        <v>14</v>
      </c>
      <c r="C46" s="2" t="s">
        <v>15</v>
      </c>
      <c r="D46" s="2" t="s">
        <v>35</v>
      </c>
      <c r="E46" s="2" t="s">
        <v>17</v>
      </c>
      <c r="F46" s="2" t="s">
        <v>101</v>
      </c>
      <c r="G46" s="2" t="s">
        <v>102</v>
      </c>
      <c r="H46" s="2" t="s">
        <v>103</v>
      </c>
      <c r="I46" s="2" t="s">
        <v>104</v>
      </c>
      <c r="J46" s="3" t="s">
        <v>109</v>
      </c>
      <c r="K46" s="3" t="s">
        <v>110</v>
      </c>
      <c r="L46" s="4"/>
    </row>
    <row r="47" spans="1:13" ht="66" x14ac:dyDescent="0.3">
      <c r="A47" s="2">
        <v>45</v>
      </c>
      <c r="B47" s="2" t="s">
        <v>14</v>
      </c>
      <c r="C47" s="2" t="s">
        <v>15</v>
      </c>
      <c r="D47" s="2" t="s">
        <v>35</v>
      </c>
      <c r="E47" s="2" t="s">
        <v>17</v>
      </c>
      <c r="F47" s="2" t="s">
        <v>101</v>
      </c>
      <c r="G47" s="2" t="s">
        <v>102</v>
      </c>
      <c r="H47" s="2" t="s">
        <v>103</v>
      </c>
      <c r="I47" s="2" t="s">
        <v>104</v>
      </c>
      <c r="J47" s="3" t="s">
        <v>111</v>
      </c>
      <c r="K47" s="3" t="s">
        <v>112</v>
      </c>
      <c r="L47" s="4"/>
    </row>
    <row r="48" spans="1:13" ht="52.8" x14ac:dyDescent="0.3">
      <c r="A48" s="2">
        <v>46</v>
      </c>
      <c r="B48" s="2" t="s">
        <v>14</v>
      </c>
      <c r="C48" s="2" t="s">
        <v>15</v>
      </c>
      <c r="D48" s="2" t="s">
        <v>35</v>
      </c>
      <c r="E48" s="2" t="s">
        <v>17</v>
      </c>
      <c r="F48" s="2" t="s">
        <v>101</v>
      </c>
      <c r="G48" s="2" t="s">
        <v>102</v>
      </c>
      <c r="H48" s="2" t="s">
        <v>103</v>
      </c>
      <c r="I48" s="2" t="s">
        <v>104</v>
      </c>
      <c r="J48" s="3" t="s">
        <v>113</v>
      </c>
      <c r="K48" s="3" t="s">
        <v>114</v>
      </c>
      <c r="L48" s="4"/>
    </row>
    <row r="49" spans="1:12" ht="132" x14ac:dyDescent="0.3">
      <c r="A49" s="2">
        <v>47</v>
      </c>
      <c r="B49" s="2" t="s">
        <v>14</v>
      </c>
      <c r="C49" s="2" t="s">
        <v>15</v>
      </c>
      <c r="D49" s="2" t="s">
        <v>35</v>
      </c>
      <c r="E49" s="2" t="s">
        <v>17</v>
      </c>
      <c r="F49" s="2" t="s">
        <v>101</v>
      </c>
      <c r="G49" s="2" t="s">
        <v>102</v>
      </c>
      <c r="H49" s="2" t="s">
        <v>103</v>
      </c>
      <c r="I49" s="2" t="s">
        <v>104</v>
      </c>
      <c r="J49" s="3" t="s">
        <v>115</v>
      </c>
      <c r="K49" s="3" t="s">
        <v>116</v>
      </c>
      <c r="L49" s="4"/>
    </row>
    <row r="50" spans="1:12" ht="39.6" x14ac:dyDescent="0.3">
      <c r="A50" s="2">
        <v>48</v>
      </c>
      <c r="B50" s="2" t="s">
        <v>14</v>
      </c>
      <c r="C50" s="2" t="s">
        <v>15</v>
      </c>
      <c r="D50" s="2" t="s">
        <v>35</v>
      </c>
      <c r="E50" s="2" t="s">
        <v>17</v>
      </c>
      <c r="F50" s="2" t="s">
        <v>101</v>
      </c>
      <c r="G50" s="2" t="s">
        <v>102</v>
      </c>
      <c r="H50" s="2" t="s">
        <v>103</v>
      </c>
      <c r="I50" s="2" t="s">
        <v>104</v>
      </c>
      <c r="J50" s="3" t="s">
        <v>117</v>
      </c>
      <c r="K50" s="3" t="s">
        <v>118</v>
      </c>
      <c r="L50" s="4"/>
    </row>
    <row r="51" spans="1:12" ht="52.8" x14ac:dyDescent="0.3">
      <c r="A51" s="2">
        <v>49</v>
      </c>
      <c r="B51" s="2" t="s">
        <v>14</v>
      </c>
      <c r="C51" s="2" t="s">
        <v>15</v>
      </c>
      <c r="D51" s="2" t="s">
        <v>35</v>
      </c>
      <c r="E51" s="2" t="s">
        <v>17</v>
      </c>
      <c r="F51" s="2" t="s">
        <v>101</v>
      </c>
      <c r="G51" s="2" t="s">
        <v>102</v>
      </c>
      <c r="H51" s="2" t="s">
        <v>103</v>
      </c>
      <c r="I51" s="2" t="s">
        <v>104</v>
      </c>
      <c r="J51" s="3" t="s">
        <v>119</v>
      </c>
      <c r="K51" s="3" t="s">
        <v>33</v>
      </c>
      <c r="L51" s="4"/>
    </row>
    <row r="52" spans="1:12" x14ac:dyDescent="0.3">
      <c r="A52" s="2">
        <v>50</v>
      </c>
      <c r="B52" s="2" t="s">
        <v>14</v>
      </c>
      <c r="C52" s="2" t="s">
        <v>15</v>
      </c>
      <c r="D52" s="2" t="s">
        <v>35</v>
      </c>
      <c r="E52" s="2" t="s">
        <v>17</v>
      </c>
      <c r="F52" s="2" t="s">
        <v>101</v>
      </c>
      <c r="G52" s="2" t="s">
        <v>102</v>
      </c>
      <c r="H52" s="2" t="s">
        <v>103</v>
      </c>
      <c r="I52" s="2" t="s">
        <v>104</v>
      </c>
      <c r="J52" s="3"/>
      <c r="K52" s="3"/>
      <c r="L52" s="4"/>
    </row>
    <row r="53" spans="1:12" x14ac:dyDescent="0.3">
      <c r="A53" s="2">
        <v>51</v>
      </c>
      <c r="B53" s="2" t="s">
        <v>14</v>
      </c>
      <c r="C53" s="2" t="s">
        <v>120</v>
      </c>
      <c r="D53" s="2" t="s">
        <v>121</v>
      </c>
      <c r="E53" s="2" t="s">
        <v>122</v>
      </c>
      <c r="F53" s="2" t="s">
        <v>123</v>
      </c>
      <c r="G53" s="2" t="s">
        <v>124</v>
      </c>
      <c r="H53" s="2" t="s">
        <v>125</v>
      </c>
      <c r="I53" s="2">
        <v>2026</v>
      </c>
      <c r="J53" s="3" t="s">
        <v>126</v>
      </c>
      <c r="K53" s="3" t="s">
        <v>127</v>
      </c>
      <c r="L53" s="4" t="s">
        <v>128</v>
      </c>
    </row>
    <row r="54" spans="1:12" ht="26.4" x14ac:dyDescent="0.3">
      <c r="A54" s="2">
        <v>52</v>
      </c>
      <c r="B54" s="2" t="s">
        <v>14</v>
      </c>
      <c r="C54" s="2" t="s">
        <v>120</v>
      </c>
      <c r="D54" s="2" t="s">
        <v>121</v>
      </c>
      <c r="E54" s="2" t="s">
        <v>122</v>
      </c>
      <c r="F54" s="2" t="s">
        <v>129</v>
      </c>
      <c r="G54" s="2" t="s">
        <v>124</v>
      </c>
      <c r="H54" s="2" t="s">
        <v>125</v>
      </c>
      <c r="I54" s="2">
        <v>2026</v>
      </c>
      <c r="J54" s="3" t="s">
        <v>130</v>
      </c>
      <c r="K54" s="3" t="s">
        <v>131</v>
      </c>
      <c r="L54" s="4" t="s">
        <v>132</v>
      </c>
    </row>
    <row r="55" spans="1:12" ht="26.4" x14ac:dyDescent="0.3">
      <c r="A55" s="2">
        <v>53</v>
      </c>
      <c r="B55" s="2" t="s">
        <v>14</v>
      </c>
      <c r="C55" s="2" t="s">
        <v>120</v>
      </c>
      <c r="D55" s="2" t="s">
        <v>121</v>
      </c>
      <c r="E55" s="2" t="s">
        <v>122</v>
      </c>
      <c r="F55" s="2" t="s">
        <v>133</v>
      </c>
      <c r="G55" s="2" t="s">
        <v>124</v>
      </c>
      <c r="H55" s="2" t="s">
        <v>125</v>
      </c>
      <c r="I55" s="2">
        <v>2026</v>
      </c>
      <c r="J55" s="3" t="s">
        <v>134</v>
      </c>
      <c r="K55" s="3" t="s">
        <v>135</v>
      </c>
      <c r="L55" s="4" t="s">
        <v>136</v>
      </c>
    </row>
    <row r="56" spans="1:12" ht="39.6" x14ac:dyDescent="0.3">
      <c r="A56" s="2">
        <v>54</v>
      </c>
      <c r="B56" s="2" t="s">
        <v>14</v>
      </c>
      <c r="C56" s="2" t="s">
        <v>120</v>
      </c>
      <c r="D56" s="2" t="s">
        <v>137</v>
      </c>
      <c r="E56" s="2" t="s">
        <v>122</v>
      </c>
      <c r="F56" s="2" t="s">
        <v>138</v>
      </c>
      <c r="G56" s="2" t="s">
        <v>139</v>
      </c>
      <c r="H56" s="2" t="s">
        <v>125</v>
      </c>
      <c r="I56" s="2">
        <v>2026</v>
      </c>
      <c r="J56" s="3" t="s">
        <v>140</v>
      </c>
      <c r="K56" s="3" t="s">
        <v>141</v>
      </c>
      <c r="L56" s="4" t="s">
        <v>142</v>
      </c>
    </row>
    <row r="57" spans="1:12" ht="28.8" x14ac:dyDescent="0.3">
      <c r="A57" s="2">
        <v>55</v>
      </c>
      <c r="B57" s="2" t="s">
        <v>14</v>
      </c>
      <c r="C57" s="2" t="s">
        <v>120</v>
      </c>
      <c r="D57" s="2" t="s">
        <v>137</v>
      </c>
      <c r="E57" s="2" t="s">
        <v>122</v>
      </c>
      <c r="F57" s="2" t="s">
        <v>143</v>
      </c>
      <c r="G57" s="2" t="s">
        <v>139</v>
      </c>
      <c r="H57" s="2" t="s">
        <v>125</v>
      </c>
      <c r="I57" s="2">
        <v>2026</v>
      </c>
      <c r="J57" s="3" t="s">
        <v>144</v>
      </c>
      <c r="K57" s="3" t="s">
        <v>145</v>
      </c>
      <c r="L57" s="4" t="s">
        <v>146</v>
      </c>
    </row>
    <row r="58" spans="1:12" ht="26.4" x14ac:dyDescent="0.3">
      <c r="A58" s="2">
        <v>56</v>
      </c>
      <c r="B58" s="2" t="s">
        <v>14</v>
      </c>
      <c r="C58" s="2" t="s">
        <v>120</v>
      </c>
      <c r="D58" s="2" t="s">
        <v>137</v>
      </c>
      <c r="E58" s="2" t="s">
        <v>122</v>
      </c>
      <c r="F58" s="2" t="s">
        <v>147</v>
      </c>
      <c r="G58" s="2" t="s">
        <v>139</v>
      </c>
      <c r="H58" s="2" t="s">
        <v>125</v>
      </c>
      <c r="I58" s="2">
        <v>2026</v>
      </c>
      <c r="J58" s="3" t="s">
        <v>148</v>
      </c>
      <c r="K58" s="3" t="s">
        <v>149</v>
      </c>
      <c r="L58" s="4" t="s">
        <v>150</v>
      </c>
    </row>
    <row r="59" spans="1:12" ht="39.6" x14ac:dyDescent="0.3">
      <c r="A59" s="2">
        <v>57</v>
      </c>
      <c r="B59" s="2" t="s">
        <v>14</v>
      </c>
      <c r="C59" s="2" t="s">
        <v>120</v>
      </c>
      <c r="D59" s="2" t="s">
        <v>137</v>
      </c>
      <c r="E59" s="2" t="s">
        <v>122</v>
      </c>
      <c r="F59" s="2" t="s">
        <v>151</v>
      </c>
      <c r="G59" s="2" t="s">
        <v>139</v>
      </c>
      <c r="H59" s="2" t="s">
        <v>125</v>
      </c>
      <c r="I59" s="2">
        <v>2026</v>
      </c>
      <c r="J59" s="3" t="s">
        <v>152</v>
      </c>
      <c r="K59" s="3" t="s">
        <v>153</v>
      </c>
      <c r="L59" s="4" t="s">
        <v>154</v>
      </c>
    </row>
    <row r="60" spans="1:12" ht="39.6" x14ac:dyDescent="0.3">
      <c r="A60" s="2">
        <v>58</v>
      </c>
      <c r="B60" s="2" t="s">
        <v>14</v>
      </c>
      <c r="C60" s="2" t="s">
        <v>120</v>
      </c>
      <c r="D60" s="2" t="s">
        <v>137</v>
      </c>
      <c r="E60" s="2" t="s">
        <v>122</v>
      </c>
      <c r="F60" s="2" t="s">
        <v>155</v>
      </c>
      <c r="G60" s="2" t="s">
        <v>156</v>
      </c>
      <c r="H60" s="2" t="s">
        <v>157</v>
      </c>
      <c r="I60" s="2">
        <v>2026</v>
      </c>
      <c r="J60" s="3" t="s">
        <v>158</v>
      </c>
      <c r="K60" s="3" t="s">
        <v>159</v>
      </c>
      <c r="L60" s="4" t="s">
        <v>160</v>
      </c>
    </row>
    <row r="61" spans="1:12" ht="26.4" x14ac:dyDescent="0.3">
      <c r="A61" s="2">
        <v>59</v>
      </c>
      <c r="B61" s="2" t="s">
        <v>14</v>
      </c>
      <c r="C61" s="2" t="s">
        <v>120</v>
      </c>
      <c r="D61" s="2" t="s">
        <v>137</v>
      </c>
      <c r="E61" s="2" t="s">
        <v>122</v>
      </c>
      <c r="F61" s="2" t="s">
        <v>161</v>
      </c>
      <c r="G61" s="2" t="s">
        <v>156</v>
      </c>
      <c r="H61" s="2" t="s">
        <v>157</v>
      </c>
      <c r="I61" s="2">
        <v>2026</v>
      </c>
      <c r="J61" s="3" t="s">
        <v>162</v>
      </c>
      <c r="K61" s="3" t="s">
        <v>163</v>
      </c>
      <c r="L61" s="4" t="s">
        <v>164</v>
      </c>
    </row>
    <row r="62" spans="1:12" ht="26.4" x14ac:dyDescent="0.3">
      <c r="A62" s="2">
        <v>60</v>
      </c>
      <c r="B62" s="2" t="s">
        <v>14</v>
      </c>
      <c r="C62" s="2" t="s">
        <v>165</v>
      </c>
      <c r="D62" s="2" t="s">
        <v>137</v>
      </c>
      <c r="E62" s="2" t="s">
        <v>122</v>
      </c>
      <c r="F62" s="2" t="s">
        <v>166</v>
      </c>
      <c r="G62" s="2" t="s">
        <v>156</v>
      </c>
      <c r="H62" s="2" t="s">
        <v>157</v>
      </c>
      <c r="I62" s="2">
        <v>2026</v>
      </c>
      <c r="J62" s="3" t="s">
        <v>167</v>
      </c>
      <c r="K62" s="3" t="s">
        <v>168</v>
      </c>
      <c r="L62" s="4" t="s">
        <v>169</v>
      </c>
    </row>
    <row r="63" spans="1:12" ht="26.4" x14ac:dyDescent="0.3">
      <c r="A63" s="2">
        <v>61</v>
      </c>
      <c r="B63" s="2" t="s">
        <v>14</v>
      </c>
      <c r="C63" s="2" t="s">
        <v>165</v>
      </c>
      <c r="D63" s="2" t="s">
        <v>137</v>
      </c>
      <c r="E63" s="2" t="s">
        <v>122</v>
      </c>
      <c r="F63" s="2" t="s">
        <v>170</v>
      </c>
      <c r="G63" s="2" t="s">
        <v>102</v>
      </c>
      <c r="H63" s="2" t="s">
        <v>125</v>
      </c>
      <c r="I63" s="2">
        <v>2026</v>
      </c>
      <c r="J63" s="3" t="s">
        <v>171</v>
      </c>
      <c r="K63" s="3" t="s">
        <v>172</v>
      </c>
      <c r="L63" s="4" t="s">
        <v>169</v>
      </c>
    </row>
    <row r="64" spans="1:12" x14ac:dyDescent="0.3">
      <c r="A64" s="2">
        <v>62</v>
      </c>
      <c r="B64" s="2" t="s">
        <v>14</v>
      </c>
      <c r="C64" s="2" t="s">
        <v>173</v>
      </c>
      <c r="D64" s="2" t="s">
        <v>137</v>
      </c>
      <c r="E64" s="2" t="s">
        <v>122</v>
      </c>
      <c r="F64" s="2" t="s">
        <v>174</v>
      </c>
      <c r="G64" s="2" t="s">
        <v>102</v>
      </c>
      <c r="H64" s="2" t="s">
        <v>175</v>
      </c>
      <c r="I64" s="2">
        <v>2026</v>
      </c>
      <c r="J64" s="3" t="s">
        <v>176</v>
      </c>
      <c r="K64" s="3" t="s">
        <v>177</v>
      </c>
      <c r="L64" s="4" t="s">
        <v>160</v>
      </c>
    </row>
    <row r="65" spans="1:14" x14ac:dyDescent="0.3">
      <c r="A65" s="2">
        <v>63</v>
      </c>
      <c r="B65" s="2" t="s">
        <v>14</v>
      </c>
      <c r="C65" s="2" t="s">
        <v>173</v>
      </c>
      <c r="D65" s="2" t="s">
        <v>137</v>
      </c>
      <c r="E65" s="2" t="s">
        <v>122</v>
      </c>
      <c r="F65" s="2" t="s">
        <v>178</v>
      </c>
      <c r="G65" s="2" t="s">
        <v>102</v>
      </c>
      <c r="H65" s="2" t="s">
        <v>125</v>
      </c>
      <c r="I65" s="2">
        <v>2026</v>
      </c>
      <c r="J65" s="3" t="s">
        <v>179</v>
      </c>
      <c r="K65" s="3" t="s">
        <v>180</v>
      </c>
      <c r="L65" s="4" t="s">
        <v>181</v>
      </c>
    </row>
    <row r="66" spans="1:14" x14ac:dyDescent="0.3">
      <c r="A66" s="2">
        <v>64</v>
      </c>
      <c r="B66" s="2" t="s">
        <v>14</v>
      </c>
      <c r="C66" s="2" t="s">
        <v>165</v>
      </c>
      <c r="D66" s="2" t="s">
        <v>137</v>
      </c>
      <c r="E66" s="2" t="s">
        <v>122</v>
      </c>
      <c r="F66" s="2" t="s">
        <v>182</v>
      </c>
      <c r="G66" s="2" t="s">
        <v>102</v>
      </c>
      <c r="H66" s="2" t="s">
        <v>125</v>
      </c>
      <c r="I66" s="2">
        <v>2026</v>
      </c>
      <c r="J66" s="3" t="s">
        <v>183</v>
      </c>
      <c r="K66" s="3" t="s">
        <v>184</v>
      </c>
      <c r="L66" s="4" t="s">
        <v>185</v>
      </c>
    </row>
    <row r="67" spans="1:14" x14ac:dyDescent="0.3">
      <c r="A67" s="2">
        <v>65</v>
      </c>
      <c r="B67" s="2" t="s">
        <v>14</v>
      </c>
      <c r="C67" s="2" t="s">
        <v>165</v>
      </c>
      <c r="D67" s="2" t="s">
        <v>137</v>
      </c>
      <c r="E67" s="2" t="s">
        <v>122</v>
      </c>
      <c r="F67" s="2" t="s">
        <v>186</v>
      </c>
      <c r="G67" s="2" t="s">
        <v>102</v>
      </c>
      <c r="H67" s="2" t="s">
        <v>125</v>
      </c>
      <c r="I67" s="2">
        <v>2026</v>
      </c>
      <c r="J67" s="3" t="s">
        <v>187</v>
      </c>
      <c r="K67" s="3" t="s">
        <v>188</v>
      </c>
      <c r="L67" s="4" t="s">
        <v>189</v>
      </c>
    </row>
    <row r="68" spans="1:14" x14ac:dyDescent="0.3">
      <c r="A68" s="2">
        <v>66</v>
      </c>
      <c r="B68" s="2" t="s">
        <v>14</v>
      </c>
      <c r="C68" s="2" t="s">
        <v>120</v>
      </c>
      <c r="D68" s="2" t="s">
        <v>137</v>
      </c>
      <c r="E68" s="2" t="s">
        <v>122</v>
      </c>
      <c r="F68" s="2" t="s">
        <v>190</v>
      </c>
      <c r="G68" s="2" t="s">
        <v>102</v>
      </c>
      <c r="H68" s="2" t="s">
        <v>125</v>
      </c>
      <c r="I68" s="2">
        <v>2026</v>
      </c>
      <c r="J68" s="3" t="s">
        <v>191</v>
      </c>
      <c r="K68" s="3" t="s">
        <v>192</v>
      </c>
      <c r="L68" s="4" t="s">
        <v>193</v>
      </c>
    </row>
    <row r="69" spans="1:14" ht="26.4" x14ac:dyDescent="0.3">
      <c r="A69" s="2">
        <v>67</v>
      </c>
      <c r="B69" s="2" t="s">
        <v>14</v>
      </c>
      <c r="C69" s="2" t="s">
        <v>165</v>
      </c>
      <c r="D69" s="2" t="s">
        <v>137</v>
      </c>
      <c r="E69" s="2" t="s">
        <v>122</v>
      </c>
      <c r="F69" s="2" t="s">
        <v>194</v>
      </c>
      <c r="G69" s="2" t="s">
        <v>102</v>
      </c>
      <c r="H69" s="2" t="s">
        <v>125</v>
      </c>
      <c r="I69" s="2">
        <v>2026</v>
      </c>
      <c r="J69" s="3" t="s">
        <v>195</v>
      </c>
      <c r="K69" s="3" t="s">
        <v>196</v>
      </c>
      <c r="L69" s="4" t="s">
        <v>197</v>
      </c>
    </row>
    <row r="70" spans="1:14" x14ac:dyDescent="0.3">
      <c r="A70" s="2">
        <v>68</v>
      </c>
      <c r="B70" s="2" t="s">
        <v>14</v>
      </c>
      <c r="C70" s="2" t="s">
        <v>120</v>
      </c>
      <c r="D70" s="2" t="s">
        <v>137</v>
      </c>
      <c r="E70" s="2" t="s">
        <v>122</v>
      </c>
      <c r="F70" s="2" t="s">
        <v>197</v>
      </c>
      <c r="G70" s="2" t="s">
        <v>102</v>
      </c>
      <c r="H70" s="2" t="s">
        <v>125</v>
      </c>
      <c r="I70" s="2">
        <v>2026</v>
      </c>
      <c r="J70" s="3" t="s">
        <v>198</v>
      </c>
      <c r="K70" s="3" t="s">
        <v>199</v>
      </c>
      <c r="L70" s="4" t="s">
        <v>197</v>
      </c>
    </row>
    <row r="71" spans="1:14" ht="26.4" x14ac:dyDescent="0.3">
      <c r="A71" s="2">
        <v>69</v>
      </c>
      <c r="B71" s="2" t="s">
        <v>14</v>
      </c>
      <c r="C71" s="2" t="s">
        <v>120</v>
      </c>
      <c r="D71" s="2" t="s">
        <v>137</v>
      </c>
      <c r="E71" s="2" t="s">
        <v>122</v>
      </c>
      <c r="F71" s="2" t="s">
        <v>200</v>
      </c>
      <c r="G71" s="2" t="s">
        <v>102</v>
      </c>
      <c r="H71" s="2" t="s">
        <v>125</v>
      </c>
      <c r="I71" s="2">
        <v>2026</v>
      </c>
      <c r="J71" s="3" t="s">
        <v>201</v>
      </c>
      <c r="K71" s="3" t="s">
        <v>202</v>
      </c>
      <c r="L71" s="4" t="s">
        <v>203</v>
      </c>
    </row>
    <row r="72" spans="1:14" ht="28.8" x14ac:dyDescent="0.3">
      <c r="A72" s="7">
        <f>A71+1</f>
        <v>70</v>
      </c>
      <c r="B72" s="8" t="s">
        <v>14</v>
      </c>
      <c r="C72" s="8" t="s">
        <v>15</v>
      </c>
      <c r="D72" s="8" t="s">
        <v>44</v>
      </c>
      <c r="E72" s="8" t="s">
        <v>204</v>
      </c>
      <c r="F72" s="8" t="s">
        <v>101</v>
      </c>
      <c r="G72" s="8" t="s">
        <v>102</v>
      </c>
      <c r="H72" s="8" t="s">
        <v>205</v>
      </c>
      <c r="I72" s="8" t="s">
        <v>21</v>
      </c>
      <c r="J72" s="9" t="s">
        <v>206</v>
      </c>
      <c r="K72" s="9" t="s">
        <v>23</v>
      </c>
      <c r="L72" s="10" t="s">
        <v>24</v>
      </c>
      <c r="M72" s="11" t="s">
        <v>207</v>
      </c>
    </row>
    <row r="73" spans="1:14" ht="28.8" x14ac:dyDescent="0.3">
      <c r="A73" s="7">
        <f t="shared" ref="A73:A81" si="0">A72+1</f>
        <v>71</v>
      </c>
      <c r="B73" s="12" t="s">
        <v>14</v>
      </c>
      <c r="C73" s="12" t="s">
        <v>15</v>
      </c>
      <c r="D73" s="12" t="s">
        <v>44</v>
      </c>
      <c r="E73" s="12" t="s">
        <v>204</v>
      </c>
      <c r="F73" s="12" t="s">
        <v>101</v>
      </c>
      <c r="G73" s="12" t="s">
        <v>102</v>
      </c>
      <c r="H73" s="12" t="s">
        <v>205</v>
      </c>
      <c r="I73" s="12" t="s">
        <v>21</v>
      </c>
      <c r="J73" s="13" t="s">
        <v>32</v>
      </c>
      <c r="K73" s="13" t="s">
        <v>33</v>
      </c>
      <c r="L73" s="14" t="s">
        <v>34</v>
      </c>
      <c r="M73" s="11" t="s">
        <v>207</v>
      </c>
    </row>
    <row r="74" spans="1:14" ht="39.6" x14ac:dyDescent="0.3">
      <c r="A74" s="7">
        <f t="shared" si="0"/>
        <v>72</v>
      </c>
      <c r="B74" s="12" t="s">
        <v>14</v>
      </c>
      <c r="C74" s="12" t="s">
        <v>15</v>
      </c>
      <c r="D74" s="12" t="s">
        <v>44</v>
      </c>
      <c r="E74" s="12" t="s">
        <v>204</v>
      </c>
      <c r="F74" s="12" t="s">
        <v>101</v>
      </c>
      <c r="G74" s="12" t="s">
        <v>102</v>
      </c>
      <c r="H74" s="12" t="s">
        <v>205</v>
      </c>
      <c r="I74" s="12" t="s">
        <v>21</v>
      </c>
      <c r="J74" s="13" t="s">
        <v>208</v>
      </c>
      <c r="K74" s="13" t="s">
        <v>108</v>
      </c>
      <c r="L74" s="14" t="s">
        <v>24</v>
      </c>
      <c r="M74" s="11" t="s">
        <v>207</v>
      </c>
    </row>
    <row r="75" spans="1:14" ht="105.6" x14ac:dyDescent="0.3">
      <c r="A75" s="7">
        <f t="shared" si="0"/>
        <v>73</v>
      </c>
      <c r="B75" s="12" t="s">
        <v>14</v>
      </c>
      <c r="C75" s="12" t="s">
        <v>15</v>
      </c>
      <c r="D75" s="12" t="s">
        <v>44</v>
      </c>
      <c r="E75" s="12" t="s">
        <v>204</v>
      </c>
      <c r="F75" s="12" t="s">
        <v>101</v>
      </c>
      <c r="G75" s="12" t="s">
        <v>102</v>
      </c>
      <c r="H75" s="12" t="s">
        <v>205</v>
      </c>
      <c r="I75" s="12" t="s">
        <v>21</v>
      </c>
      <c r="J75" s="13" t="s">
        <v>109</v>
      </c>
      <c r="K75" s="13" t="s">
        <v>110</v>
      </c>
      <c r="L75" s="14" t="s">
        <v>24</v>
      </c>
      <c r="M75" s="11" t="s">
        <v>207</v>
      </c>
    </row>
    <row r="76" spans="1:14" ht="28.8" x14ac:dyDescent="0.3">
      <c r="A76" s="7">
        <f t="shared" si="0"/>
        <v>74</v>
      </c>
      <c r="B76" s="12" t="s">
        <v>14</v>
      </c>
      <c r="C76" s="12" t="s">
        <v>15</v>
      </c>
      <c r="D76" s="12" t="s">
        <v>44</v>
      </c>
      <c r="E76" s="12" t="s">
        <v>204</v>
      </c>
      <c r="F76" s="12" t="s">
        <v>101</v>
      </c>
      <c r="G76" s="12" t="s">
        <v>102</v>
      </c>
      <c r="H76" s="12" t="s">
        <v>205</v>
      </c>
      <c r="I76" s="12" t="s">
        <v>21</v>
      </c>
      <c r="J76" s="15" t="s">
        <v>70</v>
      </c>
      <c r="K76" s="13" t="s">
        <v>71</v>
      </c>
      <c r="L76" s="14" t="s">
        <v>24</v>
      </c>
      <c r="M76" s="11" t="s">
        <v>207</v>
      </c>
      <c r="N76" t="s">
        <v>209</v>
      </c>
    </row>
    <row r="77" spans="1:14" ht="39.6" x14ac:dyDescent="0.3">
      <c r="A77" s="7">
        <f t="shared" si="0"/>
        <v>75</v>
      </c>
      <c r="B77" s="12" t="s">
        <v>14</v>
      </c>
      <c r="C77" s="12" t="s">
        <v>15</v>
      </c>
      <c r="D77" s="12" t="s">
        <v>44</v>
      </c>
      <c r="E77" s="12" t="s">
        <v>204</v>
      </c>
      <c r="F77" s="12" t="s">
        <v>101</v>
      </c>
      <c r="G77" s="12" t="s">
        <v>102</v>
      </c>
      <c r="H77" s="12" t="s">
        <v>205</v>
      </c>
      <c r="I77" s="12" t="s">
        <v>21</v>
      </c>
      <c r="J77" s="13" t="s">
        <v>68</v>
      </c>
      <c r="K77" s="13" t="s">
        <v>69</v>
      </c>
      <c r="L77" s="14" t="s">
        <v>24</v>
      </c>
      <c r="M77" s="11" t="s">
        <v>207</v>
      </c>
    </row>
    <row r="78" spans="1:14" ht="132" x14ac:dyDescent="0.3">
      <c r="A78" s="7">
        <f t="shared" si="0"/>
        <v>76</v>
      </c>
      <c r="B78" s="12" t="s">
        <v>14</v>
      </c>
      <c r="C78" s="12" t="s">
        <v>15</v>
      </c>
      <c r="D78" s="12" t="s">
        <v>44</v>
      </c>
      <c r="E78" s="12" t="s">
        <v>204</v>
      </c>
      <c r="F78" s="12" t="s">
        <v>101</v>
      </c>
      <c r="G78" s="12" t="s">
        <v>102</v>
      </c>
      <c r="H78" s="12" t="s">
        <v>205</v>
      </c>
      <c r="I78" s="12" t="s">
        <v>21</v>
      </c>
      <c r="J78" s="13" t="s">
        <v>115</v>
      </c>
      <c r="K78" s="13" t="s">
        <v>210</v>
      </c>
      <c r="L78" s="14" t="s">
        <v>24</v>
      </c>
      <c r="M78" s="11" t="s">
        <v>207</v>
      </c>
    </row>
    <row r="79" spans="1:14" ht="66" x14ac:dyDescent="0.3">
      <c r="A79" s="7">
        <f t="shared" si="0"/>
        <v>77</v>
      </c>
      <c r="B79" s="12" t="s">
        <v>14</v>
      </c>
      <c r="C79" s="12" t="s">
        <v>15</v>
      </c>
      <c r="D79" s="12" t="s">
        <v>44</v>
      </c>
      <c r="E79" s="12" t="s">
        <v>204</v>
      </c>
      <c r="F79" s="12" t="s">
        <v>101</v>
      </c>
      <c r="G79" s="12" t="s">
        <v>102</v>
      </c>
      <c r="H79" s="12" t="s">
        <v>205</v>
      </c>
      <c r="I79" s="12" t="s">
        <v>21</v>
      </c>
      <c r="J79" s="13" t="s">
        <v>211</v>
      </c>
      <c r="K79" s="13" t="s">
        <v>112</v>
      </c>
      <c r="L79" s="14" t="s">
        <v>24</v>
      </c>
      <c r="M79" s="11" t="s">
        <v>207</v>
      </c>
    </row>
    <row r="80" spans="1:14" ht="28.8" x14ac:dyDescent="0.3">
      <c r="A80" s="7">
        <f t="shared" si="0"/>
        <v>78</v>
      </c>
      <c r="B80" s="12" t="s">
        <v>14</v>
      </c>
      <c r="C80" s="12" t="s">
        <v>15</v>
      </c>
      <c r="D80" s="12" t="s">
        <v>44</v>
      </c>
      <c r="E80" s="12" t="s">
        <v>204</v>
      </c>
      <c r="F80" s="12" t="s">
        <v>101</v>
      </c>
      <c r="G80" s="12" t="s">
        <v>102</v>
      </c>
      <c r="H80" s="12" t="s">
        <v>205</v>
      </c>
      <c r="I80" s="12" t="s">
        <v>21</v>
      </c>
      <c r="J80" s="16" t="s">
        <v>148</v>
      </c>
      <c r="K80" s="16" t="s">
        <v>149</v>
      </c>
      <c r="L80" s="17" t="s">
        <v>150</v>
      </c>
      <c r="M80" s="11" t="s">
        <v>207</v>
      </c>
    </row>
    <row r="81" spans="1:13" ht="39.6" x14ac:dyDescent="0.3">
      <c r="A81" s="7">
        <f t="shared" si="0"/>
        <v>79</v>
      </c>
      <c r="B81" s="12" t="s">
        <v>14</v>
      </c>
      <c r="C81" s="12" t="s">
        <v>15</v>
      </c>
      <c r="D81" s="12" t="s">
        <v>44</v>
      </c>
      <c r="E81" s="12" t="s">
        <v>204</v>
      </c>
      <c r="F81" s="12" t="s">
        <v>101</v>
      </c>
      <c r="G81" s="12" t="s">
        <v>102</v>
      </c>
      <c r="H81" s="12" t="s">
        <v>205</v>
      </c>
      <c r="I81" s="12" t="s">
        <v>21</v>
      </c>
      <c r="J81" s="13" t="s">
        <v>152</v>
      </c>
      <c r="K81" s="13" t="s">
        <v>153</v>
      </c>
      <c r="L81" s="14" t="s">
        <v>154</v>
      </c>
      <c r="M81" s="11" t="s">
        <v>207</v>
      </c>
    </row>
  </sheetData>
  <autoFilter ref="A2:Q81" xr:uid="{921D83CA-23D8-45F7-8F17-B21F24295238}"/>
  <pageMargins left="0.7" right="0.7" top="0.75" bottom="0.75" header="0.3" footer="0.3"/>
  <headerFooter>
    <oddFooter>&amp;C_x000D_&amp;1#&amp;"Aptos"&amp;10&amp;K000000 Internal Use: Al-Futtaim Group</oddFooter>
  </headerFooter>
</worksheet>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WP3_SAP GR Test Scenarios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Shekhar Joshi-Consultant</dc:creator>
  <cp:lastModifiedBy>Joshi, Shekhar</cp:lastModifiedBy>
  <dcterms:created xsi:type="dcterms:W3CDTF">2026-04-08T08:30:58Z</dcterms:created>
  <dcterms:modified xsi:type="dcterms:W3CDTF">2026-04-08T08:58:32Z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4733f5-806e-453c-a6b2-8a6e2550356b_Enabled">
    <vt:lpwstr>true</vt:lpwstr>
  </property>
  <property fmtid="{D5CDD505-2E9C-101B-9397-08002B2CF9AE}" pid="3" name="MSIP_Label_ec4733f5-806e-453c-a6b2-8a6e2550356b_SetDate">
    <vt:lpwstr>2026-04-08T08:31:47Z</vt:lpwstr>
  </property>
  <property fmtid="{D5CDD505-2E9C-101B-9397-08002B2CF9AE}" pid="4" name="MSIP_Label_ec4733f5-806e-453c-a6b2-8a6e2550356b_Method">
    <vt:lpwstr>Standard</vt:lpwstr>
  </property>
  <property fmtid="{D5CDD505-2E9C-101B-9397-08002B2CF9AE}" pid="5" name="MSIP_Label_ec4733f5-806e-453c-a6b2-8a6e2550356b_Name">
    <vt:lpwstr>Internal Use</vt:lpwstr>
  </property>
  <property fmtid="{D5CDD505-2E9C-101B-9397-08002B2CF9AE}" pid="6" name="MSIP_Label_ec4733f5-806e-453c-a6b2-8a6e2550356b_SiteId">
    <vt:lpwstr>79ddd250-40e1-4d41-ba0f-c9e9849725cb</vt:lpwstr>
  </property>
  <property fmtid="{D5CDD505-2E9C-101B-9397-08002B2CF9AE}" pid="7" name="MSIP_Label_ec4733f5-806e-453c-a6b2-8a6e2550356b_ActionId">
    <vt:lpwstr>ea2dcecb-d6e0-43f1-ab9c-e735a6a598a2</vt:lpwstr>
  </property>
  <property fmtid="{D5CDD505-2E9C-101B-9397-08002B2CF9AE}" pid="8" name="MSIP_Label_ec4733f5-806e-453c-a6b2-8a6e2550356b_ContentBits">
    <vt:lpwstr>2</vt:lpwstr>
  </property>
  <property fmtid="{D5CDD505-2E9C-101B-9397-08002B2CF9AE}" pid="9" name="MSIP_Label_ec4733f5-806e-453c-a6b2-8a6e2550356b_Tag">
    <vt:lpwstr>10, 3, 0, 1</vt:lpwstr>
  </property>
</Properties>
</file>