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omments2.xml" ContentType="application/vnd.openxmlformats-officedocument.spreadsheetml.comments+xml"/>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omments3.xml" ContentType="application/vnd.openxmlformats-officedocument.spreadsheetml.comment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drawings/drawing4.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5.xml" ContentType="application/vnd.openxmlformats-officedocument.drawing+xml"/>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omments4.xml" ContentType="application/vnd.openxmlformats-officedocument.spreadsheetml.comments+xml"/>
  <Override PartName="/xl/customProperty13.bin" ContentType="application/vnd.openxmlformats-officedocument.spreadsheetml.customProperty"/>
  <Override PartName="/xl/customProperty14.bin" ContentType="application/vnd.openxmlformats-officedocument.spreadsheetml.customProperty"/>
  <Override PartName="/xl/drawings/drawing6.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omments5.xml" ContentType="application/vnd.openxmlformats-officedocument.spreadsheetml.comments+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drawings/drawing7.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drawings/drawing8.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9.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drawings/drawing10.xml" ContentType="application/vnd.openxmlformats-officedocument.drawing+xml"/>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capgemini-my.sharepoint.com/personal/gourahari_praharaj_capgemini_com/Documents/Desktop/"/>
    </mc:Choice>
  </mc:AlternateContent>
  <xr:revisionPtr revIDLastSave="0" documentId="8_{11A3CD01-354E-4918-9A5D-D14D600729E3}" xr6:coauthVersionLast="47" xr6:coauthVersionMax="47" xr10:uidLastSave="{00000000-0000-0000-0000-000000000000}"/>
  <bookViews>
    <workbookView xWindow="-110" yWindow="-110" windowWidth="19420" windowHeight="10300" tabRatio="880" firstSheet="3" activeTab="9" xr2:uid="{F065BA58-684B-4BEA-8CE0-9468CBA1F955}"/>
  </bookViews>
  <sheets>
    <sheet name="EPMFormattingSheet" sheetId="8" state="hidden" r:id="rId1"/>
    <sheet name="FRMT_BUYER" sheetId="9" state="hidden" r:id="rId2"/>
    <sheet name="FRMT_Seller" sheetId="12" state="hidden" r:id="rId3"/>
    <sheet name="Instructions" sheetId="15" r:id="rId4"/>
    <sheet name="EPMFormatting_VAL" sheetId="43" state="hidden" r:id="rId5"/>
    <sheet name="EPMFormatting_VAL_GRP" sheetId="66" state="hidden" r:id="rId6"/>
    <sheet name="Validations Group" sheetId="65" state="hidden" r:id="rId7"/>
    <sheet name="Validations" sheetId="63" r:id="rId8"/>
    <sheet name="Missing Seller %" sheetId="14" r:id="rId9"/>
    <sheet name="Missing Buyer %" sheetId="39" r:id="rId10"/>
  </sheets>
  <definedNames>
    <definedName name="__FPMExcelClient_CellBasedFunctionStatus" localSheetId="9" hidden="1">"2_1_2_2_2_1"</definedName>
    <definedName name="__FPMExcelClient_CellBasedFunctionStatus" localSheetId="8" hidden="1">"2_1_2_2_2_2"</definedName>
    <definedName name="__FPMExcelClient_CellBasedFunctionStatus" localSheetId="7" hidden="1">"2_1_2_2_2_2"</definedName>
    <definedName name="__FPMExcelClient_CellBasedFunctionStatus" localSheetId="6" hidden="1">"2_1_2_2_2_2"</definedName>
    <definedName name="__FPMExcelClient_Connection" localSheetId="3">"_FPM_BPCNW10_[https://aesapqbpc.corp.al-futtaim.com:3443/sap/bpc/]_[AFGCONS]_[BMAIN]_[false]_[false]"</definedName>
    <definedName name="__FPMExcelClient_Connection" localSheetId="9">"_FPM_BPCNW10_[https://aesapqbpc.corp.al-futtaim.com:3443/sap/bpc/]_[AFGCONS]_[BMAIN]_[false]_[false]"</definedName>
    <definedName name="__FPMExcelClient_Connection" localSheetId="8">"_FPM_BPCNW10_[https://aesapqbpc.corp.al-futtaim.com:3443/sap/bpc/]_[AFGCONS]_[BMAIN]_[false]_[false]"</definedName>
    <definedName name="__FPMExcelClient_Connection" localSheetId="7">"_FPM_BPCNW10_[https://aesapqbpc.corp.al-futtaim.com:3443/sap/bpc/]_[AFGCONS]_[BMAIN]_[false]_[false]"</definedName>
    <definedName name="__FPMExcelClient_Connection" localSheetId="6">"_FPM_BPCNW10_[https://aesapqbpc.corp.al-futtaim.com:3443/sap/bpc/]_[AFGCONS]_[MAIN]_[false]_[false]"</definedName>
    <definedName name="__FPMExcelClient_RefreshTime" localSheetId="9">637437355326592000</definedName>
    <definedName name="__FPMExcelClient_RefreshTime" localSheetId="8">637880003591236000</definedName>
    <definedName name="__FPMExcelClient_RefreshTime" localSheetId="7">636996526389403000</definedName>
    <definedName name="__FPMExcelClient_RefreshTime" localSheetId="6">636996526389403000</definedName>
    <definedName name="_xlnm._FilterDatabase" localSheetId="9" hidden="1">'Missing Buyer %'!$H$16:$M$1038</definedName>
    <definedName name="_xlnm._FilterDatabase" localSheetId="8" hidden="1">'Missing Seller %'!$H$24:$M$24</definedName>
    <definedName name="_xlnm._FilterDatabase" localSheetId="7" hidden="1">Validations!$C$10:$M$27</definedName>
    <definedName name="_xlnm._FilterDatabase" localSheetId="6" hidden="1">'Validations Group'!$C$10:$M$27</definedName>
    <definedName name="AddDimension" localSheetId="4" hidden="1">EPMFormatting_VAL!$D$138</definedName>
    <definedName name="AddDimension" localSheetId="5" hidden="1">EPMFormatting_VAL_GRP!$D$141</definedName>
    <definedName name="AddDimension" localSheetId="0" hidden="1">EPMFormattingSheet!$D$150</definedName>
    <definedName name="AddDimension" localSheetId="1" hidden="1">FRMT_BUYER!$D$129</definedName>
    <definedName name="AddDimension" localSheetId="2" hidden="1">FRMT_Seller!$D$135</definedName>
    <definedName name="AddLevelFirst" localSheetId="4" hidden="1">EPMFormatting_VAL!$D$26</definedName>
    <definedName name="AddLevelFirst" localSheetId="5" hidden="1">EPMFormatting_VAL_GRP!$D$26</definedName>
    <definedName name="AddLevelFirst" localSheetId="0" hidden="1">EPMFormattingSheet!$D$26</definedName>
    <definedName name="AddLevelFirst" localSheetId="1" hidden="1">FRMT_BUYER!$D$26</definedName>
    <definedName name="AddLevelFirst" localSheetId="2" hidden="1">FRMT_Seller!$D$26</definedName>
    <definedName name="AddLevelSecond" localSheetId="4" hidden="1">EPMFormatting_VAL!$D$47</definedName>
    <definedName name="AddLevelSecond" localSheetId="5" hidden="1">EPMFormatting_VAL_GRP!$D$47</definedName>
    <definedName name="AddLevelSecond" localSheetId="0" hidden="1">EPMFormattingSheet!$D$47</definedName>
    <definedName name="AddLevelSecond" localSheetId="1" hidden="1">FRMT_BUYER!$D$47</definedName>
    <definedName name="AddLevelSecond" localSheetId="2" hidden="1">FRMT_Seller!$D$47</definedName>
    <definedName name="AddMemberFirst" localSheetId="4" hidden="1">EPMFormatting_VAL!$D$85</definedName>
    <definedName name="AddMemberFirst" localSheetId="5" hidden="1">EPMFormatting_VAL_GRP!$D$88</definedName>
    <definedName name="AddMemberFirst" localSheetId="0" hidden="1">EPMFormattingSheet!$D$118</definedName>
    <definedName name="AddMemberFirst" localSheetId="1" hidden="1">FRMT_BUYER!$D$73</definedName>
    <definedName name="AddMemberFirst" localSheetId="2" hidden="1">FRMT_Seller!$D$73</definedName>
    <definedName name="AddMemberFirst_1" localSheetId="4" hidden="1">EPMFormatting_VAL!$D$74</definedName>
    <definedName name="AddMemberFirst_1" localSheetId="5" hidden="1">EPMFormatting_VAL_GRP!$D$74</definedName>
    <definedName name="AddMemberFirst_1" localSheetId="0" hidden="1">EPMFormattingSheet!$D$116</definedName>
    <definedName name="AddMemberFirst_2" localSheetId="4" hidden="1">EPMFormatting_VAL!$D$77</definedName>
    <definedName name="AddMemberFirst_2" localSheetId="5" hidden="1">EPMFormatting_VAL_GRP!$D$77</definedName>
    <definedName name="AddMemberFirst_3" localSheetId="4" hidden="1">EPMFormatting_VAL!$D$80</definedName>
    <definedName name="AddMemberFirst_3" localSheetId="5" hidden="1">EPMFormatting_VAL_GRP!$D$80</definedName>
    <definedName name="AddMemberFirst_4" localSheetId="4" hidden="1">EPMFormatting_VAL!$D$83</definedName>
    <definedName name="AddMemberFirst_4" localSheetId="5" hidden="1">EPMFormatting_VAL_GRP!$D$83</definedName>
    <definedName name="AddMemberFirst_5" localSheetId="5" hidden="1">EPMFormatting_VAL_GRP!$D$86</definedName>
    <definedName name="AddMemberSecond" localSheetId="4" hidden="1">EPMFormatting_VAL!$D$106</definedName>
    <definedName name="AddMemberSecond" localSheetId="5" hidden="1">EPMFormatting_VAL_GRP!$D$109</definedName>
    <definedName name="AddMemberSecond" localSheetId="0" hidden="1">EPMFormattingSheet!$D$94</definedName>
    <definedName name="AddMemberSecond" localSheetId="1" hidden="1">FRMT_BUYER!$D$97</definedName>
    <definedName name="AddMemberSecond" localSheetId="2" hidden="1">FRMT_Seller!$D$103</definedName>
    <definedName name="AddMemberSecond_1" localSheetId="0" hidden="1">EPMFormattingSheet!$D$74</definedName>
    <definedName name="AddMemberSecond_1" localSheetId="1" hidden="1">FRMT_BUYER!$D$95</definedName>
    <definedName name="AddMemberSecond_1" localSheetId="2" hidden="1">FRMT_Seller!$D$95</definedName>
    <definedName name="AddMemberSecond_2" localSheetId="0" hidden="1">EPMFormattingSheet!$D$77</definedName>
    <definedName name="AddMemberSecond_2" localSheetId="2" hidden="1">FRMT_Seller!$D$98</definedName>
    <definedName name="AddMemberSecond_3" localSheetId="0" hidden="1">EPMFormattingSheet!$D$80</definedName>
    <definedName name="AddMemberSecond_3" localSheetId="2" hidden="1">FRMT_Seller!$D$101</definedName>
    <definedName name="AddMemberSecond_4" localSheetId="0" hidden="1">EPMFormattingSheet!$D$83</definedName>
    <definedName name="AddMemberSecond_5" localSheetId="0" hidden="1">EPMFormattingSheet!$D$86</definedName>
    <definedName name="AddMemberSecond_6" localSheetId="0" hidden="1">EPMFormattingSheet!$D$89</definedName>
    <definedName name="AddMemberSecond_7" localSheetId="0" hidden="1">EPMFormattingSheet!$D$92</definedName>
    <definedName name="Data_Validation" localSheetId="9">'Missing Buyer %'!$C$44</definedName>
    <definedName name="Data_Validation">#REF!</definedName>
    <definedName name="DataFirst" localSheetId="4" hidden="1">EPMFormatting_VAL!$E$55:$G$55</definedName>
    <definedName name="DataFirst" localSheetId="5" hidden="1">EPMFormatting_VAL_GRP!$E$55:$G$55</definedName>
    <definedName name="DataFirst" localSheetId="0" hidden="1">EPMFormattingSheet!$E$97:$G$97</definedName>
    <definedName name="DataFirst" localSheetId="1" hidden="1">FRMT_BUYER!$E$55:$G$55</definedName>
    <definedName name="DataFirst" localSheetId="2" hidden="1">FRMT_Seller!$E$55:$G$55</definedName>
    <definedName name="DataSecond" localSheetId="4" hidden="1">EPMFormatting_VAL!$E$121:$G$121</definedName>
    <definedName name="DataSecond" localSheetId="5" hidden="1">EPMFormatting_VAL_GRP!$E$124:$G$124</definedName>
    <definedName name="DataSecond" localSheetId="0" hidden="1">EPMFormattingSheet!$E$133:$G$133</definedName>
    <definedName name="DataSecond" localSheetId="1" hidden="1">FRMT_BUYER!$E$112:$G$112</definedName>
    <definedName name="DataSecond" localSheetId="2" hidden="1">FRMT_Seller!$E$118:$G$118</definedName>
    <definedName name="DataUseFirst" localSheetId="4" hidden="1">EPMFormatting_VAL!$H$55</definedName>
    <definedName name="DataUseFirst" localSheetId="5" hidden="1">EPMFormatting_VAL_GRP!$H$55</definedName>
    <definedName name="DataUseFirst" localSheetId="0" hidden="1">EPMFormattingSheet!$H$97</definedName>
    <definedName name="DataUseFirst" localSheetId="1" hidden="1">FRMT_BUYER!$H$55</definedName>
    <definedName name="DataUseFirst" localSheetId="2" hidden="1">FRMT_Seller!$H$55</definedName>
    <definedName name="DataUseSecond" localSheetId="4" hidden="1">EPMFormatting_VAL!$H$121</definedName>
    <definedName name="DataUseSecond" localSheetId="5" hidden="1">EPMFormatting_VAL_GRP!$H$124</definedName>
    <definedName name="DataUseSecond" localSheetId="0" hidden="1">EPMFormattingSheet!$H$133</definedName>
    <definedName name="DataUseSecond" localSheetId="1" hidden="1">FRMT_BUYER!$H$112</definedName>
    <definedName name="DataUseSecond" localSheetId="2" hidden="1">FRMT_Seller!$H$118</definedName>
    <definedName name="EPMClientFormattingSheet" localSheetId="4" hidden="1">"2_0"</definedName>
    <definedName name="EPMClientFormattingSheet" localSheetId="5" hidden="1">"2_0"</definedName>
    <definedName name="EPMClientFormattingSheet" localSheetId="0" hidden="1">"2_1"</definedName>
    <definedName name="EPMClientFormattingSheet" localSheetId="1" hidden="1">"2_0"</definedName>
    <definedName name="EPMClientFormattingSheet" localSheetId="2" hidden="1">"2_0"</definedName>
    <definedName name="EPMWorkbookOptions_1" hidden="1">"k8IAAB+LCAAAAAAABADtnetv2kgQwL9X6v8Q8R3wi1dEUhkHElrAHJjkquiEDCyJFcCc7TTt/fW3GAN+EoM3kR9TtYLa4/Huz7M7u8t6pv7t93Jx8QtpuqKurnJ0gcpdoNVUnSmrp6vcqzHP0+Xct+uvX+oPqvYyUdUXcW1gUf0CX7fSL3/rs6vcs2GsL4vFt7e3whtbULWnIkNRdPHvbmc4fUZLObcXVt4Xzisr3ZBXU5TDd724qAvqaoWm"</definedName>
    <definedName name="EPMWorkbookOptions_10" hidden="1">"pJH8t6UI0mgOMrsF3odGGkK9RHYMjfgFsYicAAnSEwTmcCkxXNJNnjCRDIc4CiSS2UlmABEWbMRFJMNzbn8iLehIvEjASrz+N7PhLIL97/j+x3eg4rKTxOdkTGvytBN3E/nMTyCVEok9zJbqWNo+SSrmMlZf6Pb7neS/eRy9U7A1v1h1C1FzKn5sqpyk9AqQVNGHAyRVTGtSRYhIDykEIc/k2UgkUUpD6kCiTPib8fA2s44Tckxa7DKUYxKC"</definedName>
    <definedName name="EPMWorkbookOptions_11" hidden="1">"1kOOydBQGDq7ccn9M3+VEp/piiQPyJTnsg+ulNnMBv48aMg86gwACPYBmRSDeVSyu5vEzYPdDMpa4weYh8QxteSn585KYQh/yJ31Hg0zpUlm92AGEsnsGAIyI4UEQjMUMIEkfMd4lLM71AwgApvIIFVUKqOy+yUiKKchEQFRIiUg4iEC6TvcRFIRmp4okwq0G0/aGyDiJiIKmd2gFEDkr8wubAQAga7VL1dj4olAtijIgeJv8pAa6Uw2QMVB"</definedName>
    <definedName name="EPMWorkbookOptions_12" hidden="1">"ZcyUqczuy4GcayGR1GoUrPBBTrFdfLMURmpOXVIxMiD6zUFbvGknfkae7RRr9oOS6iZVH6C5hvRncSWu0WoX1t550JQTFkjWNkrF1VD+hXaS7sOm7IOqvUxU9QXXzDCZ76S9J5zybzOr6vW2fi9rijxZoC7Sng4aPMe/fjmoFddbGv8DQX8HAZPCAAA="</definedName>
    <definedName name="EPMWorkbookOptions_2" hidden="1">"m3tKqvCqaWhl3CvozTzpOH0jG7J1FB/vyUu0ve3+lgZarl81xbznSEdaX0NzhPVNUQFXI3c9bvW740Zf6D3Q1PjRukhGurxeT9bTwlTV1gV5kZ+/GoasLPH/l5c0x7FFLFDEAsV/xo9861YQe0P8rcu3e/hjLi90tP+sFzfFOhSSX68XylS2AQ1d2J0OpxbbYYvB9aYgrvtuwXlYhjiFT3bRcoK00Ur59xWZWh9vB+KoP/yn8NjnB82edEfj"</definedName>
    <definedName name="EPMWorkbookOptions_3" hidden="1">"r71bXFmPqEfZnYI0WZs+/7EJ7bTUi35nPSpulCVabazXJrQtUb3od85V1yI5Dt0mPxwNmhsS+O9P6eZcBBfFcNXc3fCzKyrhRyT1mgPnI28LY0mU+M5YumsPzq47ice/K180LkfO2E7cKbMZWu3vox9Buxe6V3RloiwU4w9pczaZbgp0bWivaIPQ/M+RKr9fKCJVOMVUY1uJU+yKfCUcwkfNzl7Zg9/wmObwWT3cVFAXqmaV1efEsUvN2vtc"</definedName>
    <definedName name="EPMWorkbookOptions_4" hidden="1">"6dfaNgLYZRvot9GSf6maYuBymc5xe7HnnOv6O+XpeYH/GUO0wG4fzXadhHLQc1QmRHlaiqYbtgr5n3cp2tc6GHhYqQDr4wVBHPWkcMZn17F9gnggV6JotkrbFPg9W/NaUZsh7ZqqF7dffLXr64X8p6+pa6RhS6VL5dIcTeb5UnnG5TlmXstXSwjlKRkx3GxS4SoTdnNn51U+ijuyvn9wWw/iR+gdp2WJeF2XBdHpufAAlKUoCn+E8VqWbj+/"</definedName>
    <definedName name="EPMWorkbookOptions_5" hidden="1">"jQe4lytlcZXbGE/Ox40HP95w1x7z4sSx4KEsn3Qg9WI4e8LYdENdKv+hmbP/2re6IAFPGy9+fFcg8FLzVhz8PL8voCiuSlHhuwI6fV3BDqLT6AU6u71AMJExzQAUD5TGDxqoeKi0W4MhXQYwdjCN4XAMPYubSlcQe0knEnmAcfDlsRphjAb4MQnnjzBYtlTiOC78CINJ4QjDgrhdEOwISbd1Mhz4ZqjFwTiDiN7o980rTo3+hpf44UA4u82X"</definedName>
    <definedName name="EPMWorkbookOptions_6" hidden="1">"KzRVrVbCt3k2fW3eYuh0dKN+R+QTb/VEkbR7/ZEEROxEzHHzGMC4wXSat3zH/Fk14VQiu419Bx0nr4EfU1uKtBRVLrPsCWtR3Aleg6vUWGbOlfOTyoTGXoOq5CflGpuf1eYVma7KsoxmMfAaW4ZOs+c7rZEk8e1u0s2eKJSRJHZFqX3fBCoHKv2B2G8O8FFgYvtRh60CDxsPtpbZRTl/+6iWgMeBB03VMrs86W8fVGZX9/150MDDzoNmE9+f"</definedName>
    <definedName name="EPMWorkbookOptions_7" hidden="1">"Rp6Q7Mb+cZqPtDriwydukimlbw1rQ9Bp7LVaLem2Tg6GgA8BDZufBBiHQRTA2MOQxMSvY0Z2kFtnFCf3eMpmciIOspw+B3n+Gy+WylgaO0kat+O7CvBw8qAzu94QSIQFIi4imZ1jBxEBE3EDSfymfOJEwEacROjEz0IiD7x3w9w4Db2ldrf5iQPvSvoG3huC7uUHhi10+cz+9BlA5Pso8TuriRLhgIjHRvj+AIg4bASIuIkMm30g4mg1QMTT"</definedName>
    <definedName name="EPMWorkbookOptions_8" hidden="1">"j4wyu/QV5Gt48DV2Ikzhppn4t18iT0m2w/9YTUhOCmhCZFJSTeGkxDccUugoSJbeWNo8WSSnR4jKHpukU4neS+77pDj1lKfFryLSU9bS11OeFSHP0pZgaw9loCGEHKUJFHLIqMu1YWs/uqOe9aJf6EjH0Z1ufGu/QJuxDb/ZiE38zcbHB+CMFL3po4IwnhCujGRsyoZ3H1Ij3ObFjwLRCLshlSQGQRxKYuN7U7BZBbPZu3gz6nZDLZYfw8FE"</definedName>
    <definedName name="EPMWorkbookOptions_9" hidden="1">"wHEo2aczOSMcQ5TwrKfE0CBZz4ivoH9UOzghugBJGhCdOMLYC6ITQ3Ti9+pzUlzSmEb2Pc0pxbYaECg6HpWAQNG+l5q1h0DRH71WBYGinYJnLVX5zqlpqlaiqBqV3bd8AuJnl1iKKjEMYHG/QU5t/mR2T7cHSxl/HTRvxzTNcCYasBgvGpYGNP5otlyovPUJhFzvnkJ348UitCiGyvB7ualN7UDYSpKOI52ZLkL/eOLUAGkuCPwgZqmMpbWT"</definedName>
    <definedName name="EV__EVCOM_OPTIONS__" hidden="1">8</definedName>
    <definedName name="EV__EXPOPTIONS__" hidden="1">0</definedName>
    <definedName name="EV__LASTREFTIME__" hidden="1">"(GMT+04:00)12/24/2013 9:29:41 PM"</definedName>
    <definedName name="EV__MAXEXPCOLS__" hidden="1">100</definedName>
    <definedName name="EV__MAXEXPROWS__" hidden="1">1000</definedName>
    <definedName name="EV__MEMORYCVW__" hidden="1">1</definedName>
    <definedName name="EV__MEMORYCVW__ANY_DIMENSION.XLT" hidden="1">"MAIN"</definedName>
    <definedName name="EV__MEMORYCVW__ANY_DIMENSION.XLT_ACCOUNT" hidden="1">"GCOA"</definedName>
    <definedName name="EV__MEMORYCVW__ANY_DIMENSION.XLT_CATEGORY" hidden="1">"C100"</definedName>
    <definedName name="EV__MEMORYCVW__ANY_DIMENSION.XLT_CURRENCY" hidden="1">"LC"</definedName>
    <definedName name="EV__MEMORYCVW__ANY_DIMENSION.XLT_DATASRC" hidden="1">"TOTCONS"</definedName>
    <definedName name="EV__MEMORYCVW__ANY_DIMENSION.XLT_ENTITY" hidden="1">"Alfuttaim"</definedName>
    <definedName name="EV__MEMORYCVW__ANY_DIMENSION.XLT_FLOW" hidden="1">999</definedName>
    <definedName name="EV__MEMORYCVW__ANY_DIMENSION.XLT_GROUPS" hidden="1">"NG"</definedName>
    <definedName name="EV__MEMORYCVW__ANY_DIMENSION.XLT_MEASURES" hidden="1">"YTD"</definedName>
    <definedName name="EV__MEMORYCVW__ANY_DIMENSION.XLT_TIME" hidden="1">"2010.SEP"</definedName>
    <definedName name="EV__MEMORYCVW__ANY_DIMENSION.XLT_TPARTNER" hidden="1">"IC_TOTAL_THIRD"</definedName>
    <definedName name="EV__MEMORYCVW__BOOK2" hidden="1">"[MAIN"</definedName>
    <definedName name="EV__MEMORYCVW__BOOK2_ACCOUNT" hidden="1">"[V10000"</definedName>
    <definedName name="EV__MEMORYCVW__BOOK2_CATEGORY" hidden="1">"[L100"</definedName>
    <definedName name="EV__MEMORYCVW__BOOK2_CURRENCY" hidden="1">"[AED"</definedName>
    <definedName name="EV__MEMORYCVW__BOOK2_DATASRC" hidden="1">"[LEGALCONS"</definedName>
    <definedName name="EV__MEMORYCVW__BOOK2_ENTITY" hidden="1">"[Alfuttaim"</definedName>
    <definedName name="EV__MEMORYCVW__BOOK2_FLOW" hidden="1">"[999"</definedName>
    <definedName name="EV__MEMORYCVW__BOOK2_GROUPS" hidden="1">"[G_H5"</definedName>
    <definedName name="EV__MEMORYCVW__BOOK2_MEASURES" hidden="1">"[YTD"</definedName>
    <definedName name="EV__MEMORYCVW__BOOK2_TIME" hidden="1">"[2013.MAR"</definedName>
    <definedName name="EV__MEMORYCVW__BOOK2_TPARTNER" hidden="1">"[IC_TOTAL_THIRD"</definedName>
    <definedName name="EV__MEMORYCVW__BOOK3" hidden="1">"MAIN"</definedName>
    <definedName name="EV__MEMORYCVW__BOOK3_ACCOUNT" hidden="1">1001000001</definedName>
    <definedName name="EV__MEMORYCVW__BOOK3_CATEGORY" hidden="1">"C200"</definedName>
    <definedName name="EV__MEMORYCVW__BOOK3_CURRENCY" hidden="1">"LC"</definedName>
    <definedName name="EV__MEMORYCVW__BOOK3_DATASRC" hidden="1">"ELIMN_GWC"</definedName>
    <definedName name="EV__MEMORYCVW__BOOK3_ENTITY" hidden="1">"Alfuttaim"</definedName>
    <definedName name="EV__MEMORYCVW__BOOK3_FLOW" hidden="1">999</definedName>
    <definedName name="EV__MEMORYCVW__BOOK3_GROUPS" hidden="1">"G_H5"</definedName>
    <definedName name="EV__MEMORYCVW__BOOK3_MEASURES" hidden="1">"YTD"</definedName>
    <definedName name="EV__MEMORYCVW__BOOK3_TIME" hidden="1">"2011.SEP"</definedName>
    <definedName name="EV__MEMORYCVW__BOOK3_TPARTNER" hidden="1">"I_1090"</definedName>
    <definedName name="EV__MEMORYCVW__BOOK4" hidden="1">"MAIN"</definedName>
    <definedName name="EV__MEMORYCVW__BOOK4_ACCOUNT" hidden="1">"V10000"</definedName>
    <definedName name="EV__MEMORYCVW__BOOK4_CATEGORY" hidden="1">"C100"</definedName>
    <definedName name="EV__MEMORYCVW__BOOK4_CURRENCY" hidden="1">"AED"</definedName>
    <definedName name="EV__MEMORYCVW__BOOK4_DATASRC" hidden="1">"TOTCONS"</definedName>
    <definedName name="EV__MEMORYCVW__BOOK4_ENTITY" hidden="1">9008</definedName>
    <definedName name="EV__MEMORYCVW__BOOK4_FLOW" hidden="1">999</definedName>
    <definedName name="EV__MEMORYCVW__BOOK4_GROUPS" hidden="1">"NG"</definedName>
    <definedName name="EV__MEMORYCVW__BOOK4_MEASURES" hidden="1">"YTD"</definedName>
    <definedName name="EV__MEMORYCVW__BOOK4_TIME" hidden="1">"2009.JUL"</definedName>
    <definedName name="EV__MEMORYCVW__BOOK4_TPARTNER" hidden="1">"I_NONE"</definedName>
    <definedName name="EV__MEMORYCVW__TEMP_STATISTICAL_NF.XLT.XLSX.XLT" hidden="1">"MAIN"</definedName>
    <definedName name="EV__MEMORYCVW__TEMP_STATISTICAL_NF.XLT.XLSX.XLT_ACCOUNT" hidden="1">2003000200</definedName>
    <definedName name="EV__MEMORYCVW__TEMP_STATISTICAL_NF.XLT.XLSX.XLT_CATEGORY" hidden="1">"C100"</definedName>
    <definedName name="EV__MEMORYCVW__TEMP_STATISTICAL_NF.XLT.XLSX.XLT_CURRENCY" hidden="1">"AED"</definedName>
    <definedName name="EV__MEMORYCVW__TEMP_STATISTICAL_NF.XLT.XLSX.XLT_DATASRC" hidden="1">"TOTCONS"</definedName>
    <definedName name="EV__MEMORYCVW__TEMP_STATISTICAL_NF.XLT.XLSX.XLT_ENTITY" hidden="1">"Alfuttaim"</definedName>
    <definedName name="EV__MEMORYCVW__TEMP_STATISTICAL_NF.XLT.XLSX.XLT_FLOW" hidden="1">200</definedName>
    <definedName name="EV__MEMORYCVW__TEMP_STATISTICAL_NF.XLT.XLSX.XLT_GROUPS" hidden="1">"G_H111"</definedName>
    <definedName name="EV__MEMORYCVW__TEMP_STATISTICAL_NF.XLT.XLSX.XLT_MEASURES" hidden="1">"YTD"</definedName>
    <definedName name="EV__MEMORYCVW__TEMP_STATISTICAL_NF.XLT.XLSX.XLT_TIME" hidden="1">"2010.FEB"</definedName>
    <definedName name="EV__MEMORYCVW__TEMP_STATISTICAL_NF.XLT.XLSX.XLT_TPARTNER" hidden="1">"I_1090"</definedName>
    <definedName name="EV__MEMORYCVW__VALIDATION_CONSO_ENTITIES1" hidden="1">"MAIN"</definedName>
    <definedName name="EV__MEMORYCVW__VALIDATION_CONSO_ENTITIES1_ACCOUNT" hidden="1">2003000200</definedName>
    <definedName name="EV__MEMORYCVW__VALIDATION_CONSO_ENTITIES1_CATEGORY" hidden="1">"C100"</definedName>
    <definedName name="EV__MEMORYCVW__VALIDATION_CONSO_ENTITIES1_CURRENCY" hidden="1">"AED"</definedName>
    <definedName name="EV__MEMORYCVW__VALIDATION_CONSO_ENTITIES1_DATASRC" hidden="1">"TOTCONS"</definedName>
    <definedName name="EV__MEMORYCVW__VALIDATION_CONSO_ENTITIES1_ENTITY" hidden="1">"Alfuttaim"</definedName>
    <definedName name="EV__MEMORYCVW__VALIDATION_CONSO_ENTITIES1_FLOW" hidden="1">200</definedName>
    <definedName name="EV__MEMORYCVW__VALIDATION_CONSO_ENTITIES1_GROUPS" hidden="1">"G_H111"</definedName>
    <definedName name="EV__MEMORYCVW__VALIDATION_CONSO_ENTITIES1_MEASURES" hidden="1">"YTD"</definedName>
    <definedName name="EV__MEMORYCVW__VALIDATION_CONSO_ENTITIES1_TIME" hidden="1">"2010.FEB"</definedName>
    <definedName name="EV__MEMORYCVW__VALIDATION_CONSO_ENTITIES1_TPARTNER" hidden="1">"I_1090"</definedName>
    <definedName name="EV__MEMORYCVW__VALIDATION_LC.XLT" hidden="1">"MAIN"</definedName>
    <definedName name="EV__MEMORYCVW__VALIDATION_LC.XLT_ACCOUNT" hidden="1">"GCOA"</definedName>
    <definedName name="EV__MEMORYCVW__VALIDATION_LC.XLT_CATEGORY" hidden="1">"MCON"</definedName>
    <definedName name="EV__MEMORYCVW__VALIDATION_LC.XLT_CURRENCY" hidden="1">"AED"</definedName>
    <definedName name="EV__MEMORYCVW__VALIDATION_LC.XLT_DATASRC" hidden="1">"LEGALCONS"</definedName>
    <definedName name="EV__MEMORYCVW__VALIDATION_LC.XLT_ENTITY" hidden="1">"Alfuttaim"</definedName>
    <definedName name="EV__MEMORYCVW__VALIDATION_LC.XLT_FLOW" hidden="1">"TOT"</definedName>
    <definedName name="EV__MEMORYCVW__VALIDATION_LC.XLT_GROUPS" hidden="1">"G_H1"</definedName>
    <definedName name="EV__MEMORYCVW__VALIDATION_LC.XLT_MEASURES" hidden="1">"YTD"</definedName>
    <definedName name="EV__MEMORYCVW__VALIDATION_LC.XLT_TIME" hidden="1">"2010.JAN"</definedName>
    <definedName name="EV__MEMORYCVW__VALIDATION_LC.XLT_TPARTNER" hidden="1">"IC_TOTAL_THIRD"</definedName>
    <definedName name="EV__MEMORYCVW__VALIDATION_LC_DATASOURCE.XLT" hidden="1">"MAIN"</definedName>
    <definedName name="EV__MEMORYCVW__VALIDATION_LC_DATASOURCE.XLTX" hidden="1">"MAIN"</definedName>
    <definedName name="EV__MEMORYCVW__VALIDATION_LC_DATASOURCE_COPY.XLSX" hidden="1">"[MAIN"</definedName>
    <definedName name="EV__MEMORYCVW__VALIDATION_LC_DATASOURCE_COPY.XLSX_ICACCOUNT" hidden="1">"[TOT_IC"</definedName>
    <definedName name="EV__MEMORYCVW__VALIDATION_LC_DATASOURCE1" hidden="1">"[MAIN"</definedName>
    <definedName name="EV__MEMORYCVW__VALIDATION_LC_DATASOURCE2.XLSM" hidden="1">"[MAIN"</definedName>
    <definedName name="EV__MEMORYCVW__VALIDATION_LC_ENTITIES1" hidden="1">"MAIN"</definedName>
    <definedName name="EV__MEMORYCVW__VALIDATION_LC1" hidden="1">"MAIN"</definedName>
    <definedName name="EV__MEMORYCVW__VALIDATION_LC1_ACCOUNT" hidden="1">"GCOA"</definedName>
    <definedName name="EV__MEMORYCVW__VALIDATION_LC1_CATEGORY" hidden="1">"C100"</definedName>
    <definedName name="EV__MEMORYCVW__VALIDATION_LC1_CURRENCY" hidden="1">"AED"</definedName>
    <definedName name="EV__MEMORYCVW__VALIDATION_LC1_DATASRC" hidden="1">"TOTCONS"</definedName>
    <definedName name="EV__MEMORYCVW__VALIDATION_LC1_ENTITY" hidden="1">"Alfuttaim"</definedName>
    <definedName name="EV__MEMORYCVW__VALIDATION_LC1_FLOW" hidden="1">999</definedName>
    <definedName name="EV__MEMORYCVW__VALIDATION_LC1_GROUPS" hidden="1">"G_H2"</definedName>
    <definedName name="EV__MEMORYCVW__VALIDATION_LC1_MEASURES" hidden="1">"YTD"</definedName>
    <definedName name="EV__MEMORYCVW__VALIDATION_LC1_TIME" hidden="1">"2013.MAR"</definedName>
    <definedName name="EV__MEMORYCVW__VALIDATION_LC1_TPARTNER" hidden="1">"IC_TOTAL_THIRD"</definedName>
    <definedName name="EV__WBEVMODE__" hidden="1">0</definedName>
    <definedName name="EV__WBREFOPTIONS__" hidden="1">134217751</definedName>
    <definedName name="EV__WBVERSION__" hidden="1">0</definedName>
    <definedName name="EV__WSINFO__" hidden="1">"FestivalCity00"</definedName>
    <definedName name="EvenDataFirst" localSheetId="4" hidden="1">EPMFormatting_VAL!$F$118</definedName>
    <definedName name="EvenDataFirst" localSheetId="5" hidden="1">EPMFormatting_VAL_GRP!$F$121</definedName>
    <definedName name="EvenDataFirst" localSheetId="0" hidden="1">EPMFormattingSheet!$F$130</definedName>
    <definedName name="EvenDataFirst" localSheetId="1" hidden="1">FRMT_BUYER!$F$109</definedName>
    <definedName name="EvenDataFirst" localSheetId="2" hidden="1">FRMT_Seller!$F$115</definedName>
    <definedName name="EvenDataSecond" localSheetId="4" hidden="1">EPMFormatting_VAL!$F$126</definedName>
    <definedName name="EvenDataSecond" localSheetId="5" hidden="1">EPMFormatting_VAL_GRP!$F$129</definedName>
    <definedName name="EvenDataSecond" localSheetId="0" hidden="1">EPMFormattingSheet!$F$138</definedName>
    <definedName name="EvenDataSecond" localSheetId="1" hidden="1">FRMT_BUYER!$F$117</definedName>
    <definedName name="EvenDataSecond" localSheetId="2" hidden="1">FRMT_Seller!$F$123</definedName>
    <definedName name="EvenDataUseFirst" localSheetId="4" hidden="1">EPMFormatting_VAL!$H$118</definedName>
    <definedName name="EvenDataUseFirst" localSheetId="5" hidden="1">EPMFormatting_VAL_GRP!$H$121</definedName>
    <definedName name="EvenDataUseFirst" localSheetId="0" hidden="1">EPMFormattingSheet!$H$130</definedName>
    <definedName name="EvenDataUseFirst" localSheetId="1" hidden="1">FRMT_BUYER!$H$109</definedName>
    <definedName name="EvenDataUseFirst" localSheetId="2" hidden="1">FRMT_Seller!$H$115</definedName>
    <definedName name="EvenDataUseSecond" localSheetId="4" hidden="1">EPMFormatting_VAL!$H$126</definedName>
    <definedName name="EvenDataUseSecond" localSheetId="5" hidden="1">EPMFormatting_VAL_GRP!$H$129</definedName>
    <definedName name="EvenDataUseSecond" localSheetId="0" hidden="1">EPMFormattingSheet!$H$138</definedName>
    <definedName name="EvenDataUseSecond" localSheetId="1" hidden="1">FRMT_BUYER!$H$117</definedName>
    <definedName name="EvenDataUseSecond" localSheetId="2" hidden="1">FRMT_Seller!$H$123</definedName>
    <definedName name="EvenHeaderFirst" localSheetId="4" hidden="1">EPMFormatting_VAL!$J$118</definedName>
    <definedName name="EvenHeaderFirst" localSheetId="5" hidden="1">EPMFormatting_VAL_GRP!$J$121</definedName>
    <definedName name="EvenHeaderFirst" localSheetId="0" hidden="1">EPMFormattingSheet!$J$130</definedName>
    <definedName name="EvenHeaderFirst" localSheetId="1" hidden="1">FRMT_BUYER!$J$109</definedName>
    <definedName name="EvenHeaderFirst" localSheetId="2" hidden="1">FRMT_Seller!$J$115</definedName>
    <definedName name="EvenHeaderSecond" localSheetId="4" hidden="1">EPMFormatting_VAL!$J$126</definedName>
    <definedName name="EvenHeaderSecond" localSheetId="5" hidden="1">EPMFormatting_VAL_GRP!$J$129</definedName>
    <definedName name="EvenHeaderSecond" localSheetId="0" hidden="1">EPMFormattingSheet!$J$138</definedName>
    <definedName name="EvenHeaderSecond" localSheetId="1" hidden="1">FRMT_BUYER!$J$117</definedName>
    <definedName name="EvenHeaderSecond" localSheetId="2" hidden="1">FRMT_Seller!$J$123</definedName>
    <definedName name="EvenHeaderUseFirst" localSheetId="4" hidden="1">EPMFormatting_VAL!$L$118</definedName>
    <definedName name="EvenHeaderUseFirst" localSheetId="5" hidden="1">EPMFormatting_VAL_GRP!$L$121</definedName>
    <definedName name="EvenHeaderUseFirst" localSheetId="0" hidden="1">EPMFormattingSheet!$L$130</definedName>
    <definedName name="EvenHeaderUseFirst" localSheetId="1" hidden="1">FRMT_BUYER!$L$109</definedName>
    <definedName name="EvenHeaderUseFirst" localSheetId="2" hidden="1">FRMT_Seller!$L$115</definedName>
    <definedName name="EvenHeaderUseSecond" localSheetId="4" hidden="1">EPMFormatting_VAL!$L$126</definedName>
    <definedName name="EvenHeaderUseSecond" localSheetId="5" hidden="1">EPMFormatting_VAL_GRP!$L$129</definedName>
    <definedName name="EvenHeaderUseSecond" localSheetId="0" hidden="1">EPMFormattingSheet!$L$138</definedName>
    <definedName name="EvenHeaderUseSecond" localSheetId="1" hidden="1">FRMT_BUYER!$L$117</definedName>
    <definedName name="EvenHeaderUseSecond" localSheetId="2" hidden="1">FRMT_Seller!$L$123</definedName>
    <definedName name="HeaderFirst" localSheetId="4" hidden="1">EPMFormatting_VAL!$I$55:$K$55</definedName>
    <definedName name="HeaderFirst" localSheetId="5" hidden="1">EPMFormatting_VAL_GRP!$I$55:$K$55</definedName>
    <definedName name="HeaderFirst" localSheetId="0" hidden="1">EPMFormattingSheet!$I$97:$K$97</definedName>
    <definedName name="HeaderFirst" localSheetId="1" hidden="1">FRMT_BUYER!$I$55:$K$55</definedName>
    <definedName name="HeaderFirst" localSheetId="2" hidden="1">FRMT_Seller!$I$55:$K$55</definedName>
    <definedName name="HeaderSecond" localSheetId="4" hidden="1">EPMFormatting_VAL!$I$121:$K$121</definedName>
    <definedName name="HeaderSecond" localSheetId="5" hidden="1">EPMFormatting_VAL_GRP!$I$124:$K$124</definedName>
    <definedName name="HeaderSecond" localSheetId="0" hidden="1">EPMFormattingSheet!$I$133:$K$133</definedName>
    <definedName name="HeaderSecond" localSheetId="1" hidden="1">FRMT_BUYER!$I$112:$K$112</definedName>
    <definedName name="HeaderSecond" localSheetId="2" hidden="1">FRMT_Seller!$I$118:$K$118</definedName>
    <definedName name="HeaderSmallGrid" localSheetId="4" hidden="1">EPMFormatting_VAL!$E$132:$G$132</definedName>
    <definedName name="HeaderSmallGrid" localSheetId="5" hidden="1">EPMFormatting_VAL_GRP!$E$135:$G$135</definedName>
    <definedName name="HeaderSmallGrid" localSheetId="0" hidden="1">EPMFormattingSheet!$E$144:$G$144</definedName>
    <definedName name="HeaderSmallGrid" localSheetId="1" hidden="1">FRMT_BUYER!$E$123:$G$123</definedName>
    <definedName name="HeaderSmallGrid" localSheetId="2" hidden="1">FRMT_Seller!$E$129:$G$129</definedName>
    <definedName name="HeaderUseFirst" localSheetId="4" hidden="1">EPMFormatting_VAL!$L$55</definedName>
    <definedName name="HeaderUseFirst" localSheetId="5" hidden="1">EPMFormatting_VAL_GRP!$L$55</definedName>
    <definedName name="HeaderUseFirst" localSheetId="0" hidden="1">EPMFormattingSheet!$L$97</definedName>
    <definedName name="HeaderUseFirst" localSheetId="1" hidden="1">FRMT_BUYER!$L$55</definedName>
    <definedName name="HeaderUseFirst" localSheetId="2" hidden="1">FRMT_Seller!$L$55</definedName>
    <definedName name="HeaderUseSecond" localSheetId="4" hidden="1">EPMFormatting_VAL!$L$121</definedName>
    <definedName name="HeaderUseSecond" localSheetId="5" hidden="1">EPMFormatting_VAL_GRP!$L$124</definedName>
    <definedName name="HeaderUseSecond" localSheetId="0" hidden="1">EPMFormattingSheet!$L$133</definedName>
    <definedName name="HeaderUseSecond" localSheetId="1" hidden="1">FRMT_BUYER!$L$112</definedName>
    <definedName name="HeaderUseSecond" localSheetId="2" hidden="1">FRMT_Seller!$L$118</definedName>
    <definedName name="HeaderUseSmallGrid" localSheetId="4" hidden="1">EPMFormatting_VAL!$H$132:$L$132</definedName>
    <definedName name="HeaderUseSmallGrid" localSheetId="5" hidden="1">EPMFormatting_VAL_GRP!$H$135:$L$135</definedName>
    <definedName name="HeaderUseSmallGrid" localSheetId="0" hidden="1">EPMFormattingSheet!$H$144:$L$144</definedName>
    <definedName name="HeaderUseSmallGrid" localSheetId="1" hidden="1">FRMT_BUYER!$H$123:$L$123</definedName>
    <definedName name="HeaderUseSmallGrid" localSheetId="2" hidden="1">FRMT_Seller!$H$129:$L$129</definedName>
    <definedName name="LevelEndBlock" localSheetId="4" hidden="1">EPMFormatting_VAL!$B$49</definedName>
    <definedName name="LevelEndBlock" localSheetId="5" hidden="1">EPMFormatting_VAL_GRP!$B$49</definedName>
    <definedName name="LevelEndBlock" localSheetId="0" hidden="1">EPMFormattingSheet!$B$49</definedName>
    <definedName name="LevelEndBlock" localSheetId="1" hidden="1">FRMT_BUYER!$B$49</definedName>
    <definedName name="LevelEndBlock" localSheetId="2" hidden="1">FRMT_Seller!$B$49</definedName>
    <definedName name="LevelFirstBlock" localSheetId="4" hidden="1">EPMFormatting_VAL!$B$7:$B$27</definedName>
    <definedName name="LevelFirstBlock" localSheetId="5" hidden="1">EPMFormatting_VAL_GRP!$B$7:$B$27</definedName>
    <definedName name="LevelFirstBlock" localSheetId="0" hidden="1">EPMFormattingSheet!$B$7:$B$27</definedName>
    <definedName name="LevelFirstBlock" localSheetId="1" hidden="1">FRMT_BUYER!$B$7:$B$27</definedName>
    <definedName name="LevelFirstBlock" localSheetId="2" hidden="1">FRMT_Seller!$B$7:$B$27</definedName>
    <definedName name="LevelFirstDataDefault" localSheetId="4" hidden="1">EPMFormatting_VAL!$F$11</definedName>
    <definedName name="LevelFirstDataDefault" localSheetId="5" hidden="1">EPMFormatting_VAL_GRP!$F$11</definedName>
    <definedName name="LevelFirstDataDefault" localSheetId="0" hidden="1">EPMFormattingSheet!$F$11</definedName>
    <definedName name="LevelFirstDataDefault" localSheetId="1" hidden="1">FRMT_BUYER!$F$11</definedName>
    <definedName name="LevelFirstDataDefault" localSheetId="2" hidden="1">FRMT_Seller!$F$11</definedName>
    <definedName name="LevelFirstDataLeaf" localSheetId="4" hidden="1">EPMFormatting_VAL!$F$14</definedName>
    <definedName name="LevelFirstDataLeaf" localSheetId="5" hidden="1">EPMFormatting_VAL_GRP!$F$14</definedName>
    <definedName name="LevelFirstDataLeaf" localSheetId="0" hidden="1">EPMFormattingSheet!$F$14</definedName>
    <definedName name="LevelFirstDataLeaf" localSheetId="1" hidden="1">FRMT_BUYER!$F$14</definedName>
    <definedName name="LevelFirstDataLeaf" localSheetId="2" hidden="1">FRMT_Seller!$F$14</definedName>
    <definedName name="LevelFirstDataLevel_1" localSheetId="4" hidden="1">EPMFormatting_VAL!$F$18</definedName>
    <definedName name="LevelFirstDataLevel_1" localSheetId="5" hidden="1">EPMFormatting_VAL_GRP!$F$18</definedName>
    <definedName name="LevelFirstDataLevel_1" localSheetId="0" hidden="1">EPMFormattingSheet!$F$18</definedName>
    <definedName name="LevelFirstDataLevel_1" localSheetId="1" hidden="1">FRMT_BUYER!$F$18</definedName>
    <definedName name="LevelFirstDataLevel_1" localSheetId="2" hidden="1">FRMT_Seller!$F$18</definedName>
    <definedName name="LevelFirstDataLevel_2" localSheetId="4" hidden="1">EPMFormatting_VAL!$F$21</definedName>
    <definedName name="LevelFirstDataLevel_2" localSheetId="5" hidden="1">EPMFormatting_VAL_GRP!$F$21</definedName>
    <definedName name="LevelFirstDataLevel_2" localSheetId="0" hidden="1">EPMFormattingSheet!$F$21</definedName>
    <definedName name="LevelFirstDataLevel_2" localSheetId="1" hidden="1">FRMT_BUYER!$F$21</definedName>
    <definedName name="LevelFirstDataLevel_2" localSheetId="2" hidden="1">FRMT_Seller!$F$21</definedName>
    <definedName name="LevelFirstDataLevel_3" localSheetId="4" hidden="1">EPMFormatting_VAL!$F$24</definedName>
    <definedName name="LevelFirstDataLevel_3" localSheetId="5" hidden="1">EPMFormatting_VAL_GRP!$F$24</definedName>
    <definedName name="LevelFirstDataLevel_3" localSheetId="0" hidden="1">EPMFormattingSheet!$F$24</definedName>
    <definedName name="LevelFirstDataLevel_3" localSheetId="1" hidden="1">FRMT_BUYER!$F$24</definedName>
    <definedName name="LevelFirstDataLevel_3" localSheetId="2" hidden="1">FRMT_Seller!$F$24</definedName>
    <definedName name="LevelFirstDataUseDefault" localSheetId="4" hidden="1">EPMFormatting_VAL!$H$11</definedName>
    <definedName name="LevelFirstDataUseDefault" localSheetId="5" hidden="1">EPMFormatting_VAL_GRP!$H$11</definedName>
    <definedName name="LevelFirstDataUseDefault" localSheetId="0" hidden="1">EPMFormattingSheet!$H$11</definedName>
    <definedName name="LevelFirstDataUseDefault" localSheetId="1" hidden="1">FRMT_BUYER!$H$11</definedName>
    <definedName name="LevelFirstDataUseDefault" localSheetId="2" hidden="1">FRMT_Seller!$H$11</definedName>
    <definedName name="LevelFirstDataUseLeaf" localSheetId="4" hidden="1">EPMFormatting_VAL!$H$14</definedName>
    <definedName name="LevelFirstDataUseLeaf" localSheetId="5" hidden="1">EPMFormatting_VAL_GRP!$H$14</definedName>
    <definedName name="LevelFirstDataUseLeaf" localSheetId="0" hidden="1">EPMFormattingSheet!$H$14</definedName>
    <definedName name="LevelFirstDataUseLeaf" localSheetId="1" hidden="1">FRMT_BUYER!$H$14</definedName>
    <definedName name="LevelFirstDataUseLeaf" localSheetId="2" hidden="1">FRMT_Seller!$H$14</definedName>
    <definedName name="LevelFirstDataUseLevel_1" localSheetId="4" hidden="1">EPMFormatting_VAL!$H$18</definedName>
    <definedName name="LevelFirstDataUseLevel_1" localSheetId="5" hidden="1">EPMFormatting_VAL_GRP!$H$18</definedName>
    <definedName name="LevelFirstDataUseLevel_1" localSheetId="0" hidden="1">EPMFormattingSheet!$H$18</definedName>
    <definedName name="LevelFirstDataUseLevel_1" localSheetId="1" hidden="1">FRMT_BUYER!$H$18</definedName>
    <definedName name="LevelFirstDataUseLevel_1" localSheetId="2" hidden="1">FRMT_Seller!$H$18</definedName>
    <definedName name="LevelFirstDataUseLevel_2" localSheetId="4" hidden="1">EPMFormatting_VAL!$H$21</definedName>
    <definedName name="LevelFirstDataUseLevel_2" localSheetId="5" hidden="1">EPMFormatting_VAL_GRP!$H$21</definedName>
    <definedName name="LevelFirstDataUseLevel_2" localSheetId="0" hidden="1">EPMFormattingSheet!$H$21</definedName>
    <definedName name="LevelFirstDataUseLevel_2" localSheetId="1" hidden="1">FRMT_BUYER!$H$21</definedName>
    <definedName name="LevelFirstDataUseLevel_2" localSheetId="2" hidden="1">FRMT_Seller!$H$21</definedName>
    <definedName name="LevelFirstDataUseLevel_3" localSheetId="4" hidden="1">EPMFormatting_VAL!$H$24</definedName>
    <definedName name="LevelFirstDataUseLevel_3" localSheetId="5" hidden="1">EPMFormatting_VAL_GRP!$H$24</definedName>
    <definedName name="LevelFirstDataUseLevel_3" localSheetId="0" hidden="1">EPMFormattingSheet!$H$24</definedName>
    <definedName name="LevelFirstDataUseLevel_3" localSheetId="1" hidden="1">FRMT_BUYER!$H$24</definedName>
    <definedName name="LevelFirstDataUseLevel_3" localSheetId="2" hidden="1">FRMT_Seller!$H$24</definedName>
    <definedName name="LevelFirstHeaderDefault" localSheetId="4" hidden="1">EPMFormatting_VAL!$J$11</definedName>
    <definedName name="LevelFirstHeaderDefault" localSheetId="5" hidden="1">EPMFormatting_VAL_GRP!$J$11</definedName>
    <definedName name="LevelFirstHeaderDefault" localSheetId="0" hidden="1">EPMFormattingSheet!$J$11</definedName>
    <definedName name="LevelFirstHeaderDefault" localSheetId="1" hidden="1">FRMT_BUYER!$J$11</definedName>
    <definedName name="LevelFirstHeaderDefault" localSheetId="2" hidden="1">FRMT_Seller!$J$11</definedName>
    <definedName name="LevelFirstHeaderLeaf" localSheetId="4" hidden="1">EPMFormatting_VAL!$J$14</definedName>
    <definedName name="LevelFirstHeaderLeaf" localSheetId="5" hidden="1">EPMFormatting_VAL_GRP!$J$14</definedName>
    <definedName name="LevelFirstHeaderLeaf" localSheetId="0" hidden="1">EPMFormattingSheet!$J$14</definedName>
    <definedName name="LevelFirstHeaderLeaf" localSheetId="1" hidden="1">FRMT_BUYER!$J$14</definedName>
    <definedName name="LevelFirstHeaderLeaf" localSheetId="2" hidden="1">FRMT_Seller!$J$14</definedName>
    <definedName name="LevelFirstHeaderLevel_1" localSheetId="4" hidden="1">EPMFormatting_VAL!$J$18</definedName>
    <definedName name="LevelFirstHeaderLevel_1" localSheetId="5" hidden="1">EPMFormatting_VAL_GRP!$J$18</definedName>
    <definedName name="LevelFirstHeaderLevel_1" localSheetId="0" hidden="1">EPMFormattingSheet!$J$18</definedName>
    <definedName name="LevelFirstHeaderLevel_1" localSheetId="1" hidden="1">FRMT_BUYER!$J$18</definedName>
    <definedName name="LevelFirstHeaderLevel_1" localSheetId="2" hidden="1">FRMT_Seller!$J$18</definedName>
    <definedName name="LevelFirstHeaderLevel_2" localSheetId="4" hidden="1">EPMFormatting_VAL!$J$21</definedName>
    <definedName name="LevelFirstHeaderLevel_2" localSheetId="5" hidden="1">EPMFormatting_VAL_GRP!$J$21</definedName>
    <definedName name="LevelFirstHeaderLevel_2" localSheetId="0" hidden="1">EPMFormattingSheet!$J$21</definedName>
    <definedName name="LevelFirstHeaderLevel_2" localSheetId="1" hidden="1">FRMT_BUYER!$J$21</definedName>
    <definedName name="LevelFirstHeaderLevel_2" localSheetId="2" hidden="1">FRMT_Seller!$J$21</definedName>
    <definedName name="LevelFirstHeaderLevel_3" localSheetId="4" hidden="1">EPMFormatting_VAL!$J$24</definedName>
    <definedName name="LevelFirstHeaderLevel_3" localSheetId="5" hidden="1">EPMFormatting_VAL_GRP!$J$24</definedName>
    <definedName name="LevelFirstHeaderLevel_3" localSheetId="0" hidden="1">EPMFormattingSheet!$J$24</definedName>
    <definedName name="LevelFirstHeaderLevel_3" localSheetId="1" hidden="1">FRMT_BUYER!$J$24</definedName>
    <definedName name="LevelFirstHeaderLevel_3" localSheetId="2" hidden="1">FRMT_Seller!$J$24</definedName>
    <definedName name="LevelFirstHeaderUseDefault" localSheetId="4" hidden="1">EPMFormatting_VAL!$L$11</definedName>
    <definedName name="LevelFirstHeaderUseDefault" localSheetId="5" hidden="1">EPMFormatting_VAL_GRP!$L$11</definedName>
    <definedName name="LevelFirstHeaderUseDefault" localSheetId="0" hidden="1">EPMFormattingSheet!$L$11</definedName>
    <definedName name="LevelFirstHeaderUseDefault" localSheetId="1" hidden="1">FRMT_BUYER!$L$11</definedName>
    <definedName name="LevelFirstHeaderUseDefault" localSheetId="2" hidden="1">FRMT_Seller!$L$11</definedName>
    <definedName name="LevelFirstHeaderUseLeaf" localSheetId="4" hidden="1">EPMFormatting_VAL!$L$14</definedName>
    <definedName name="LevelFirstHeaderUseLeaf" localSheetId="5" hidden="1">EPMFormatting_VAL_GRP!$L$14</definedName>
    <definedName name="LevelFirstHeaderUseLeaf" localSheetId="0" hidden="1">EPMFormattingSheet!$L$14</definedName>
    <definedName name="LevelFirstHeaderUseLeaf" localSheetId="1" hidden="1">FRMT_BUYER!$L$14</definedName>
    <definedName name="LevelFirstHeaderUseLeaf" localSheetId="2" hidden="1">FRMT_Seller!$L$14</definedName>
    <definedName name="LevelFirstHeaderUseLevel_1" localSheetId="4" hidden="1">EPMFormatting_VAL!$L$18</definedName>
    <definedName name="LevelFirstHeaderUseLevel_1" localSheetId="5" hidden="1">EPMFormatting_VAL_GRP!$L$18</definedName>
    <definedName name="LevelFirstHeaderUseLevel_1" localSheetId="0" hidden="1">EPMFormattingSheet!$L$18</definedName>
    <definedName name="LevelFirstHeaderUseLevel_1" localSheetId="1" hidden="1">FRMT_BUYER!$L$18</definedName>
    <definedName name="LevelFirstHeaderUseLevel_1" localSheetId="2" hidden="1">FRMT_Seller!$L$18</definedName>
    <definedName name="LevelFirstHeaderUseLevel_2" localSheetId="4" hidden="1">EPMFormatting_VAL!$L$21</definedName>
    <definedName name="LevelFirstHeaderUseLevel_2" localSheetId="5" hidden="1">EPMFormatting_VAL_GRP!$L$21</definedName>
    <definedName name="LevelFirstHeaderUseLevel_2" localSheetId="0" hidden="1">EPMFormattingSheet!$L$21</definedName>
    <definedName name="LevelFirstHeaderUseLevel_2" localSheetId="1" hidden="1">FRMT_BUYER!$L$21</definedName>
    <definedName name="LevelFirstHeaderUseLevel_2" localSheetId="2" hidden="1">FRMT_Seller!$L$21</definedName>
    <definedName name="LevelFirstHeaderUseLevel_3" localSheetId="4" hidden="1">EPMFormatting_VAL!$L$24</definedName>
    <definedName name="LevelFirstHeaderUseLevel_3" localSheetId="5" hidden="1">EPMFormatting_VAL_GRP!$L$24</definedName>
    <definedName name="LevelFirstHeaderUseLevel_3" localSheetId="0" hidden="1">EPMFormattingSheet!$L$24</definedName>
    <definedName name="LevelFirstHeaderUseLevel_3" localSheetId="1" hidden="1">FRMT_BUYER!$L$24</definedName>
    <definedName name="LevelFirstHeaderUseLevel_3" localSheetId="2" hidden="1">FRMT_Seller!$L$24</definedName>
    <definedName name="LevelSecondBlock" localSheetId="4" hidden="1">EPMFormatting_VAL!$B$28:$B$48</definedName>
    <definedName name="LevelSecondBlock" localSheetId="5" hidden="1">EPMFormatting_VAL_GRP!$B$28:$B$48</definedName>
    <definedName name="LevelSecondBlock" localSheetId="0" hidden="1">EPMFormattingSheet!$B$28:$B$48</definedName>
    <definedName name="LevelSecondBlock" localSheetId="1" hidden="1">FRMT_BUYER!$B$28:$B$48</definedName>
    <definedName name="LevelSecondBlock" localSheetId="2" hidden="1">FRMT_Seller!$B$28:$B$48</definedName>
    <definedName name="LevelSecondDataDefault" localSheetId="4" hidden="1">EPMFormatting_VAL!$F$32</definedName>
    <definedName name="LevelSecondDataDefault" localSheetId="5" hidden="1">EPMFormatting_VAL_GRP!$F$32</definedName>
    <definedName name="LevelSecondDataDefault" localSheetId="0" hidden="1">EPMFormattingSheet!$F$32</definedName>
    <definedName name="LevelSecondDataDefault" localSheetId="1" hidden="1">FRMT_BUYER!$F$32</definedName>
    <definedName name="LevelSecondDataDefault" localSheetId="2" hidden="1">FRMT_Seller!$F$32</definedName>
    <definedName name="LevelSecondDataLeaf" localSheetId="4" hidden="1">EPMFormatting_VAL!$F$35</definedName>
    <definedName name="LevelSecondDataLeaf" localSheetId="5" hidden="1">EPMFormatting_VAL_GRP!$F$35</definedName>
    <definedName name="LevelSecondDataLeaf" localSheetId="0" hidden="1">EPMFormattingSheet!$F$35</definedName>
    <definedName name="LevelSecondDataLeaf" localSheetId="1" hidden="1">FRMT_BUYER!$F$35</definedName>
    <definedName name="LevelSecondDataLeaf" localSheetId="2" hidden="1">FRMT_Seller!$F$35</definedName>
    <definedName name="LevelSecondDataLevel_1" localSheetId="4" hidden="1">EPMFormatting_VAL!$F$39</definedName>
    <definedName name="LevelSecondDataLevel_1" localSheetId="5" hidden="1">EPMFormatting_VAL_GRP!$F$39</definedName>
    <definedName name="LevelSecondDataLevel_1" localSheetId="0" hidden="1">EPMFormattingSheet!$F$39</definedName>
    <definedName name="LevelSecondDataLevel_1" localSheetId="1" hidden="1">FRMT_BUYER!$F$39</definedName>
    <definedName name="LevelSecondDataLevel_1" localSheetId="2" hidden="1">FRMT_Seller!$F$39</definedName>
    <definedName name="LevelSecondDataLevel_2" localSheetId="4" hidden="1">EPMFormatting_VAL!$F$42</definedName>
    <definedName name="LevelSecondDataLevel_2" localSheetId="5" hidden="1">EPMFormatting_VAL_GRP!$F$42</definedName>
    <definedName name="LevelSecondDataLevel_2" localSheetId="0" hidden="1">EPMFormattingSheet!$F$42</definedName>
    <definedName name="LevelSecondDataLevel_2" localSheetId="1" hidden="1">FRMT_BUYER!$F$42</definedName>
    <definedName name="LevelSecondDataLevel_2" localSheetId="2" hidden="1">FRMT_Seller!$F$42</definedName>
    <definedName name="LevelSecondDataLevel_3" localSheetId="4" hidden="1">EPMFormatting_VAL!$F$45</definedName>
    <definedName name="LevelSecondDataLevel_3" localSheetId="5" hidden="1">EPMFormatting_VAL_GRP!$F$45</definedName>
    <definedName name="LevelSecondDataLevel_3" localSheetId="0" hidden="1">EPMFormattingSheet!$F$45</definedName>
    <definedName name="LevelSecondDataLevel_3" localSheetId="1" hidden="1">FRMT_BUYER!$F$45</definedName>
    <definedName name="LevelSecondDataLevel_3" localSheetId="2" hidden="1">FRMT_Seller!$F$45</definedName>
    <definedName name="LevelSecondDataUseDefault" localSheetId="4" hidden="1">EPMFormatting_VAL!$H$32</definedName>
    <definedName name="LevelSecondDataUseDefault" localSheetId="5" hidden="1">EPMFormatting_VAL_GRP!$H$32</definedName>
    <definedName name="LevelSecondDataUseDefault" localSheetId="0" hidden="1">EPMFormattingSheet!$H$32</definedName>
    <definedName name="LevelSecondDataUseDefault" localSheetId="1" hidden="1">FRMT_BUYER!$H$32</definedName>
    <definedName name="LevelSecondDataUseDefault" localSheetId="2" hidden="1">FRMT_Seller!$H$32</definedName>
    <definedName name="LevelSecondDataUseLeaf" localSheetId="4" hidden="1">EPMFormatting_VAL!$H$35</definedName>
    <definedName name="LevelSecondDataUseLeaf" localSheetId="5" hidden="1">EPMFormatting_VAL_GRP!$H$35</definedName>
    <definedName name="LevelSecondDataUseLeaf" localSheetId="0" hidden="1">EPMFormattingSheet!$H$35</definedName>
    <definedName name="LevelSecondDataUseLeaf" localSheetId="1" hidden="1">FRMT_BUYER!$H$35</definedName>
    <definedName name="LevelSecondDataUseLeaf" localSheetId="2" hidden="1">FRMT_Seller!$H$35</definedName>
    <definedName name="LevelSecondDataUseLevel_1" localSheetId="4" hidden="1">EPMFormatting_VAL!$H$39</definedName>
    <definedName name="LevelSecondDataUseLevel_1" localSheetId="5" hidden="1">EPMFormatting_VAL_GRP!$H$39</definedName>
    <definedName name="LevelSecondDataUseLevel_1" localSheetId="0" hidden="1">EPMFormattingSheet!$H$39</definedName>
    <definedName name="LevelSecondDataUseLevel_1" localSheetId="1" hidden="1">FRMT_BUYER!$H$39</definedName>
    <definedName name="LevelSecondDataUseLevel_1" localSheetId="2" hidden="1">FRMT_Seller!$H$39</definedName>
    <definedName name="LevelSecondDataUseLevel_2" localSheetId="4" hidden="1">EPMFormatting_VAL!$H$42</definedName>
    <definedName name="LevelSecondDataUseLevel_2" localSheetId="5" hidden="1">EPMFormatting_VAL_GRP!$H$42</definedName>
    <definedName name="LevelSecondDataUseLevel_2" localSheetId="0" hidden="1">EPMFormattingSheet!$H$42</definedName>
    <definedName name="LevelSecondDataUseLevel_2" localSheetId="1" hidden="1">FRMT_BUYER!$H$42</definedName>
    <definedName name="LevelSecondDataUseLevel_2" localSheetId="2" hidden="1">FRMT_Seller!$H$42</definedName>
    <definedName name="LevelSecondDataUseLevel_3" localSheetId="4" hidden="1">EPMFormatting_VAL!$H$45</definedName>
    <definedName name="LevelSecondDataUseLevel_3" localSheetId="5" hidden="1">EPMFormatting_VAL_GRP!$H$45</definedName>
    <definedName name="LevelSecondDataUseLevel_3" localSheetId="0" hidden="1">EPMFormattingSheet!$H$45</definedName>
    <definedName name="LevelSecondDataUseLevel_3" localSheetId="1" hidden="1">FRMT_BUYER!$H$45</definedName>
    <definedName name="LevelSecondDataUseLevel_3" localSheetId="2" hidden="1">FRMT_Seller!$H$45</definedName>
    <definedName name="LevelSecondHeaderDefault" localSheetId="4" hidden="1">EPMFormatting_VAL!$J$32</definedName>
    <definedName name="LevelSecondHeaderDefault" localSheetId="5" hidden="1">EPMFormatting_VAL_GRP!$J$32</definedName>
    <definedName name="LevelSecondHeaderDefault" localSheetId="0" hidden="1">EPMFormattingSheet!$J$32</definedName>
    <definedName name="LevelSecondHeaderDefault" localSheetId="1" hidden="1">FRMT_BUYER!$J$32</definedName>
    <definedName name="LevelSecondHeaderDefault" localSheetId="2" hidden="1">FRMT_Seller!$J$32</definedName>
    <definedName name="LevelSecondHeaderLeaf" localSheetId="4" hidden="1">EPMFormatting_VAL!$J$35</definedName>
    <definedName name="LevelSecondHeaderLeaf" localSheetId="5" hidden="1">EPMFormatting_VAL_GRP!$J$35</definedName>
    <definedName name="LevelSecondHeaderLeaf" localSheetId="0" hidden="1">EPMFormattingSheet!$J$35</definedName>
    <definedName name="LevelSecondHeaderLeaf" localSheetId="1" hidden="1">FRMT_BUYER!$J$35</definedName>
    <definedName name="LevelSecondHeaderLeaf" localSheetId="2" hidden="1">FRMT_Seller!$J$35</definedName>
    <definedName name="LevelSecondHeaderLevel_1" localSheetId="4" hidden="1">EPMFormatting_VAL!$J$39</definedName>
    <definedName name="LevelSecondHeaderLevel_1" localSheetId="5" hidden="1">EPMFormatting_VAL_GRP!$J$39</definedName>
    <definedName name="LevelSecondHeaderLevel_1" localSheetId="0" hidden="1">EPMFormattingSheet!$J$39</definedName>
    <definedName name="LevelSecondHeaderLevel_1" localSheetId="1" hidden="1">FRMT_BUYER!$J$39</definedName>
    <definedName name="LevelSecondHeaderLevel_1" localSheetId="2" hidden="1">FRMT_Seller!$J$39</definedName>
    <definedName name="LevelSecondHeaderLevel_2" localSheetId="4" hidden="1">EPMFormatting_VAL!$J$42</definedName>
    <definedName name="LevelSecondHeaderLevel_2" localSheetId="5" hidden="1">EPMFormatting_VAL_GRP!$J$42</definedName>
    <definedName name="LevelSecondHeaderLevel_2" localSheetId="0" hidden="1">EPMFormattingSheet!$J$42</definedName>
    <definedName name="LevelSecondHeaderLevel_2" localSheetId="1" hidden="1">FRMT_BUYER!$J$42</definedName>
    <definedName name="LevelSecondHeaderLevel_2" localSheetId="2" hidden="1">FRMT_Seller!$J$42</definedName>
    <definedName name="LevelSecondHeaderLevel_3" localSheetId="4" hidden="1">EPMFormatting_VAL!$J$45</definedName>
    <definedName name="LevelSecondHeaderLevel_3" localSheetId="5" hidden="1">EPMFormatting_VAL_GRP!$J$45</definedName>
    <definedName name="LevelSecondHeaderLevel_3" localSheetId="0" hidden="1">EPMFormattingSheet!$J$45</definedName>
    <definedName name="LevelSecondHeaderLevel_3" localSheetId="1" hidden="1">FRMT_BUYER!$J$45</definedName>
    <definedName name="LevelSecondHeaderLevel_3" localSheetId="2" hidden="1">FRMT_Seller!$J$45</definedName>
    <definedName name="LevelSecondHeaderUseDefault" localSheetId="4" hidden="1">EPMFormatting_VAL!$L$32</definedName>
    <definedName name="LevelSecondHeaderUseDefault" localSheetId="5" hidden="1">EPMFormatting_VAL_GRP!$L$32</definedName>
    <definedName name="LevelSecondHeaderUseDefault" localSheetId="0" hidden="1">EPMFormattingSheet!$L$32</definedName>
    <definedName name="LevelSecondHeaderUseDefault" localSheetId="1" hidden="1">FRMT_BUYER!$L$32</definedName>
    <definedName name="LevelSecondHeaderUseDefault" localSheetId="2" hidden="1">FRMT_Seller!$L$32</definedName>
    <definedName name="LevelSecondHeaderUseLeaf" localSheetId="4" hidden="1">EPMFormatting_VAL!$L$35</definedName>
    <definedName name="LevelSecondHeaderUseLeaf" localSheetId="5" hidden="1">EPMFormatting_VAL_GRP!$L$35</definedName>
    <definedName name="LevelSecondHeaderUseLeaf" localSheetId="0" hidden="1">EPMFormattingSheet!$L$35</definedName>
    <definedName name="LevelSecondHeaderUseLeaf" localSheetId="1" hidden="1">FRMT_BUYER!$L$35</definedName>
    <definedName name="LevelSecondHeaderUseLeaf" localSheetId="2" hidden="1">FRMT_Seller!$L$35</definedName>
    <definedName name="LevelSecondHeaderUseLevel_1" localSheetId="4" hidden="1">EPMFormatting_VAL!$L$39</definedName>
    <definedName name="LevelSecondHeaderUseLevel_1" localSheetId="5" hidden="1">EPMFormatting_VAL_GRP!$L$39</definedName>
    <definedName name="LevelSecondHeaderUseLevel_1" localSheetId="0" hidden="1">EPMFormattingSheet!$L$39</definedName>
    <definedName name="LevelSecondHeaderUseLevel_1" localSheetId="1" hidden="1">FRMT_BUYER!$L$39</definedName>
    <definedName name="LevelSecondHeaderUseLevel_1" localSheetId="2" hidden="1">FRMT_Seller!$L$39</definedName>
    <definedName name="LevelSecondHeaderUseLevel_2" localSheetId="4" hidden="1">EPMFormatting_VAL!$L$42</definedName>
    <definedName name="LevelSecondHeaderUseLevel_2" localSheetId="5" hidden="1">EPMFormatting_VAL_GRP!$L$42</definedName>
    <definedName name="LevelSecondHeaderUseLevel_2" localSheetId="0" hidden="1">EPMFormattingSheet!$L$42</definedName>
    <definedName name="LevelSecondHeaderUseLevel_2" localSheetId="1" hidden="1">FRMT_BUYER!$L$42</definedName>
    <definedName name="LevelSecondHeaderUseLevel_2" localSheetId="2" hidden="1">FRMT_Seller!$L$42</definedName>
    <definedName name="LevelSecondHeaderUseLevel_3" localSheetId="4" hidden="1">EPMFormatting_VAL!$L$45</definedName>
    <definedName name="LevelSecondHeaderUseLevel_3" localSheetId="5" hidden="1">EPMFormatting_VAL_GRP!$L$45</definedName>
    <definedName name="LevelSecondHeaderUseLevel_3" localSheetId="0" hidden="1">EPMFormattingSheet!$L$45</definedName>
    <definedName name="LevelSecondHeaderUseLevel_3" localSheetId="1" hidden="1">FRMT_BUYER!$L$45</definedName>
    <definedName name="LevelSecondHeaderUseLevel_3" localSheetId="2" hidden="1">FRMT_Seller!$L$45</definedName>
    <definedName name="MemberEndBlock" localSheetId="4" hidden="1">EPMFormatting_VAL!$B$108</definedName>
    <definedName name="MemberEndBlock" localSheetId="5" hidden="1">EPMFormatting_VAL_GRP!$B$111</definedName>
    <definedName name="MemberEndBlock" localSheetId="0" hidden="1">EPMFormattingSheet!$B$120</definedName>
    <definedName name="MemberEndBlock" localSheetId="1" hidden="1">FRMT_BUYER!$B$99</definedName>
    <definedName name="MemberEndBlock" localSheetId="2" hidden="1">FRMT_Seller!$B$105</definedName>
    <definedName name="MemberFirstBlock" localSheetId="4" hidden="1">EPMFormatting_VAL!$B$54:$B$86</definedName>
    <definedName name="MemberFirstBlock" localSheetId="5" hidden="1">EPMFormatting_VAL_GRP!$B$54:$B$89</definedName>
    <definedName name="MemberFirstBlock" localSheetId="0" hidden="1">EPMFormattingSheet!$B$96:$B$119</definedName>
    <definedName name="MemberFirstBlock" localSheetId="1" hidden="1">FRMT_BUYER!$B$54:$B$74</definedName>
    <definedName name="MemberFirstBlock" localSheetId="2" hidden="1">FRMT_Seller!$B$54:$B$74</definedName>
    <definedName name="MemberFirstDataCalculated" localSheetId="4" hidden="1">EPMFormatting_VAL!$F$60</definedName>
    <definedName name="MemberFirstDataCalculated" localSheetId="5" hidden="1">EPMFormatting_VAL_GRP!$F$60</definedName>
    <definedName name="MemberFirstDataCalculated" localSheetId="0" hidden="1">EPMFormattingSheet!$F$102</definedName>
    <definedName name="MemberFirstDataCalculated" localSheetId="1" hidden="1">FRMT_BUYER!$F$60</definedName>
    <definedName name="MemberFirstDataCalculated" localSheetId="2" hidden="1">FRMT_Seller!$F$60</definedName>
    <definedName name="MemberFirstDataChanged" localSheetId="4" hidden="1">EPMFormatting_VAL!$F$69</definedName>
    <definedName name="MemberFirstDataChanged" localSheetId="5" hidden="1">EPMFormatting_VAL_GRP!$F$69</definedName>
    <definedName name="MemberFirstDataChanged" localSheetId="0" hidden="1">EPMFormattingSheet!$F$111</definedName>
    <definedName name="MemberFirstDataChanged" localSheetId="1" hidden="1">FRMT_BUYER!$F$69</definedName>
    <definedName name="MemberFirstDataChanged" localSheetId="2" hidden="1">FRMT_Seller!$F$69</definedName>
    <definedName name="MemberFirstDataCustom" localSheetId="4" hidden="1">EPMFormatting_VAL!$F$57</definedName>
    <definedName name="MemberFirstDataCustom" localSheetId="5" hidden="1">EPMFormatting_VAL_GRP!$F$57</definedName>
    <definedName name="MemberFirstDataCustom" localSheetId="0" hidden="1">EPMFormattingSheet!$F$99</definedName>
    <definedName name="MemberFirstDataCustom" localSheetId="1" hidden="1">FRMT_BUYER!$F$57</definedName>
    <definedName name="MemberFirstDataCustom" localSheetId="2" hidden="1">FRMT_Seller!$F$57</definedName>
    <definedName name="MemberFirstDataInputable" localSheetId="4" hidden="1">EPMFormatting_VAL!$F$63</definedName>
    <definedName name="MemberFirstDataInputable" localSheetId="5" hidden="1">EPMFormatting_VAL_GRP!$F$63</definedName>
    <definedName name="MemberFirstDataInputable" localSheetId="0" hidden="1">EPMFormattingSheet!$F$105</definedName>
    <definedName name="MemberFirstDataInputable" localSheetId="1" hidden="1">FRMT_BUYER!$F$63</definedName>
    <definedName name="MemberFirstDataInputable" localSheetId="2" hidden="1">FRMT_Seller!$F$63</definedName>
    <definedName name="MemberFirstDataItem_1" localSheetId="4" hidden="1">EPMFormatting_VAL!$F$74</definedName>
    <definedName name="MemberFirstDataItem_1" localSheetId="5" hidden="1">EPMFormatting_VAL_GRP!$F$74</definedName>
    <definedName name="MemberFirstDataItem_1" localSheetId="0" hidden="1">EPMFormattingSheet!$F$116</definedName>
    <definedName name="MemberFirstDataItem_2" localSheetId="4" hidden="1">EPMFormatting_VAL!$F$77</definedName>
    <definedName name="MemberFirstDataItem_2" localSheetId="5" hidden="1">EPMFormatting_VAL_GRP!$F$77</definedName>
    <definedName name="MemberFirstDataItem_3" localSheetId="4" hidden="1">EPMFormatting_VAL!$F$80</definedName>
    <definedName name="MemberFirstDataItem_3" localSheetId="5" hidden="1">EPMFormatting_VAL_GRP!$F$80</definedName>
    <definedName name="MemberFirstDataItem_4" localSheetId="4" hidden="1">EPMFormatting_VAL!$F$83</definedName>
    <definedName name="MemberFirstDataItem_4" localSheetId="5" hidden="1">EPMFormatting_VAL_GRP!$F$83</definedName>
    <definedName name="MemberFirstDataItem_5" localSheetId="5" hidden="1">EPMFormatting_VAL_GRP!$F$86</definedName>
    <definedName name="MemberFirstDataLocal" localSheetId="4" hidden="1">EPMFormatting_VAL!$F$66</definedName>
    <definedName name="MemberFirstDataLocal" localSheetId="5" hidden="1">EPMFormatting_VAL_GRP!$F$66</definedName>
    <definedName name="MemberFirstDataLocal" localSheetId="0" hidden="1">EPMFormattingSheet!$F$108</definedName>
    <definedName name="MemberFirstDataLocal" localSheetId="1" hidden="1">FRMT_BUYER!$F$66</definedName>
    <definedName name="MemberFirstDataLocal" localSheetId="2" hidden="1">FRMT_Seller!$F$66</definedName>
    <definedName name="MemberFirstDataUseCalculated" localSheetId="4" hidden="1">EPMFormatting_VAL!$H$60</definedName>
    <definedName name="MemberFirstDataUseCalculated" localSheetId="5" hidden="1">EPMFormatting_VAL_GRP!$H$60</definedName>
    <definedName name="MemberFirstDataUseCalculated" localSheetId="0" hidden="1">EPMFormattingSheet!$H$102</definedName>
    <definedName name="MemberFirstDataUseCalculated" localSheetId="1" hidden="1">FRMT_BUYER!$H$60</definedName>
    <definedName name="MemberFirstDataUseCalculated" localSheetId="2" hidden="1">FRMT_Seller!$H$60</definedName>
    <definedName name="MemberFirstDataUseChanged" localSheetId="4" hidden="1">EPMFormatting_VAL!$H$69</definedName>
    <definedName name="MemberFirstDataUseChanged" localSheetId="5" hidden="1">EPMFormatting_VAL_GRP!$H$69</definedName>
    <definedName name="MemberFirstDataUseChanged" localSheetId="0" hidden="1">EPMFormattingSheet!$H$111</definedName>
    <definedName name="MemberFirstDataUseChanged" localSheetId="1" hidden="1">FRMT_BUYER!$H$69</definedName>
    <definedName name="MemberFirstDataUseChanged" localSheetId="2" hidden="1">FRMT_Seller!$H$69</definedName>
    <definedName name="MemberFirstDataUseCustom" localSheetId="4" hidden="1">EPMFormatting_VAL!$H$57</definedName>
    <definedName name="MemberFirstDataUseCustom" localSheetId="5" hidden="1">EPMFormatting_VAL_GRP!$H$57</definedName>
    <definedName name="MemberFirstDataUseCustom" localSheetId="0" hidden="1">EPMFormattingSheet!$H$99</definedName>
    <definedName name="MemberFirstDataUseCustom" localSheetId="1" hidden="1">FRMT_BUYER!$H$57</definedName>
    <definedName name="MemberFirstDataUseCustom" localSheetId="2" hidden="1">FRMT_Seller!$H$57</definedName>
    <definedName name="MemberFirstDataUseInputable" localSheetId="4" hidden="1">EPMFormatting_VAL!$H$63</definedName>
    <definedName name="MemberFirstDataUseInputable" localSheetId="5" hidden="1">EPMFormatting_VAL_GRP!$H$63</definedName>
    <definedName name="MemberFirstDataUseInputable" localSheetId="0" hidden="1">EPMFormattingSheet!$H$105</definedName>
    <definedName name="MemberFirstDataUseInputable" localSheetId="1" hidden="1">FRMT_BUYER!$H$63</definedName>
    <definedName name="MemberFirstDataUseInputable" localSheetId="2" hidden="1">FRMT_Seller!$H$63</definedName>
    <definedName name="MemberFirstDataUseItem_1" localSheetId="4" hidden="1">EPMFormatting_VAL!$H$74</definedName>
    <definedName name="MemberFirstDataUseItem_1" localSheetId="5" hidden="1">EPMFormatting_VAL_GRP!$H$74</definedName>
    <definedName name="MemberFirstDataUseItem_1" localSheetId="0" hidden="1">EPMFormattingSheet!$H$116</definedName>
    <definedName name="MemberFirstDataUseItem_2" localSheetId="4" hidden="1">EPMFormatting_VAL!$H$77</definedName>
    <definedName name="MemberFirstDataUseItem_2" localSheetId="5" hidden="1">EPMFormatting_VAL_GRP!$H$77</definedName>
    <definedName name="MemberFirstDataUseItem_3" localSheetId="4" hidden="1">EPMFormatting_VAL!$H$80</definedName>
    <definedName name="MemberFirstDataUseItem_3" localSheetId="5" hidden="1">EPMFormatting_VAL_GRP!$H$80</definedName>
    <definedName name="MemberFirstDataUseItem_4" localSheetId="4" hidden="1">EPMFormatting_VAL!$H$83</definedName>
    <definedName name="MemberFirstDataUseItem_4" localSheetId="5" hidden="1">EPMFormatting_VAL_GRP!$H$83</definedName>
    <definedName name="MemberFirstDataUseItem_5" localSheetId="5" hidden="1">EPMFormatting_VAL_GRP!$H$86</definedName>
    <definedName name="MemberFirstDataUseLocal" localSheetId="4" hidden="1">EPMFormatting_VAL!$H$66</definedName>
    <definedName name="MemberFirstDataUseLocal" localSheetId="5" hidden="1">EPMFormatting_VAL_GRP!$H$66</definedName>
    <definedName name="MemberFirstDataUseLocal" localSheetId="0" hidden="1">EPMFormattingSheet!$H$108</definedName>
    <definedName name="MemberFirstDataUseLocal" localSheetId="1" hidden="1">FRMT_BUYER!$H$66</definedName>
    <definedName name="MemberFirstDataUseLocal" localSheetId="2" hidden="1">FRMT_Seller!$H$66</definedName>
    <definedName name="MemberFirstHeaderCalculated" localSheetId="4" hidden="1">EPMFormatting_VAL!$J$60</definedName>
    <definedName name="MemberFirstHeaderCalculated" localSheetId="5" hidden="1">EPMFormatting_VAL_GRP!$J$60</definedName>
    <definedName name="MemberFirstHeaderCalculated" localSheetId="0" hidden="1">EPMFormattingSheet!$J$102</definedName>
    <definedName name="MemberFirstHeaderCalculated" localSheetId="1" hidden="1">FRMT_BUYER!$J$60</definedName>
    <definedName name="MemberFirstHeaderCalculated" localSheetId="2" hidden="1">FRMT_Seller!$J$60</definedName>
    <definedName name="MemberFirstHeaderChanged" localSheetId="4" hidden="1">EPMFormatting_VAL!$J$69</definedName>
    <definedName name="MemberFirstHeaderChanged" localSheetId="5" hidden="1">EPMFormatting_VAL_GRP!$J$69</definedName>
    <definedName name="MemberFirstHeaderChanged" localSheetId="0" hidden="1">EPMFormattingSheet!$J$111</definedName>
    <definedName name="MemberFirstHeaderChanged" localSheetId="1" hidden="1">FRMT_BUYER!$J$69</definedName>
    <definedName name="MemberFirstHeaderChanged" localSheetId="2" hidden="1">FRMT_Seller!$J$69</definedName>
    <definedName name="MemberFirstHeaderCustom" localSheetId="4" hidden="1">EPMFormatting_VAL!$J$57</definedName>
    <definedName name="MemberFirstHeaderCustom" localSheetId="5" hidden="1">EPMFormatting_VAL_GRP!$J$57</definedName>
    <definedName name="MemberFirstHeaderCustom" localSheetId="0" hidden="1">EPMFormattingSheet!$J$99</definedName>
    <definedName name="MemberFirstHeaderCustom" localSheetId="1" hidden="1">FRMT_BUYER!$J$57</definedName>
    <definedName name="MemberFirstHeaderCustom" localSheetId="2" hidden="1">FRMT_Seller!$J$57</definedName>
    <definedName name="MemberFirstHeaderInputable" localSheetId="4" hidden="1">EPMFormatting_VAL!$J$63</definedName>
    <definedName name="MemberFirstHeaderInputable" localSheetId="5" hidden="1">EPMFormatting_VAL_GRP!$J$63</definedName>
    <definedName name="MemberFirstHeaderInputable" localSheetId="0" hidden="1">EPMFormattingSheet!$J$105</definedName>
    <definedName name="MemberFirstHeaderInputable" localSheetId="1" hidden="1">FRMT_BUYER!$J$63</definedName>
    <definedName name="MemberFirstHeaderInputable" localSheetId="2" hidden="1">FRMT_Seller!$J$63</definedName>
    <definedName name="MemberFirstHeaderItem_1" localSheetId="4" hidden="1">EPMFormatting_VAL!$J$74</definedName>
    <definedName name="MemberFirstHeaderItem_1" localSheetId="5" hidden="1">EPMFormatting_VAL_GRP!$J$74</definedName>
    <definedName name="MemberFirstHeaderItem_1" localSheetId="0" hidden="1">EPMFormattingSheet!$J$116</definedName>
    <definedName name="MemberFirstHeaderItem_2" localSheetId="4" hidden="1">EPMFormatting_VAL!$J$77</definedName>
    <definedName name="MemberFirstHeaderItem_2" localSheetId="5" hidden="1">EPMFormatting_VAL_GRP!$J$77</definedName>
    <definedName name="MemberFirstHeaderItem_3" localSheetId="4" hidden="1">EPMFormatting_VAL!$J$80</definedName>
    <definedName name="MemberFirstHeaderItem_3" localSheetId="5" hidden="1">EPMFormatting_VAL_GRP!$J$80</definedName>
    <definedName name="MemberFirstHeaderItem_4" localSheetId="4" hidden="1">EPMFormatting_VAL!$J$83</definedName>
    <definedName name="MemberFirstHeaderItem_4" localSheetId="5" hidden="1">EPMFormatting_VAL_GRP!$J$83</definedName>
    <definedName name="MemberFirstHeaderItem_5" localSheetId="5" hidden="1">EPMFormatting_VAL_GRP!$J$86</definedName>
    <definedName name="MemberFirstHeaderLocal" localSheetId="4" hidden="1">EPMFormatting_VAL!$J$66</definedName>
    <definedName name="MemberFirstHeaderLocal" localSheetId="5" hidden="1">EPMFormatting_VAL_GRP!$J$66</definedName>
    <definedName name="MemberFirstHeaderLocal" localSheetId="0" hidden="1">EPMFormattingSheet!$J$108</definedName>
    <definedName name="MemberFirstHeaderLocal" localSheetId="1" hidden="1">FRMT_BUYER!$J$66</definedName>
    <definedName name="MemberFirstHeaderLocal" localSheetId="2" hidden="1">FRMT_Seller!$J$66</definedName>
    <definedName name="MemberFirstHeaderUseCalculated" localSheetId="4" hidden="1">EPMFormatting_VAL!$L$60</definedName>
    <definedName name="MemberFirstHeaderUseCalculated" localSheetId="5" hidden="1">EPMFormatting_VAL_GRP!$L$60</definedName>
    <definedName name="MemberFirstHeaderUseCalculated" localSheetId="0" hidden="1">EPMFormattingSheet!$L$102</definedName>
    <definedName name="MemberFirstHeaderUseCalculated" localSheetId="1" hidden="1">FRMT_BUYER!$L$60</definedName>
    <definedName name="MemberFirstHeaderUseCalculated" localSheetId="2" hidden="1">FRMT_Seller!$L$60</definedName>
    <definedName name="MemberFirstHeaderUseChanged" localSheetId="4" hidden="1">EPMFormatting_VAL!$L$69</definedName>
    <definedName name="MemberFirstHeaderUseChanged" localSheetId="5" hidden="1">EPMFormatting_VAL_GRP!$L$69</definedName>
    <definedName name="MemberFirstHeaderUseChanged" localSheetId="0" hidden="1">EPMFormattingSheet!$L$111</definedName>
    <definedName name="MemberFirstHeaderUseChanged" localSheetId="1" hidden="1">FRMT_BUYER!$L$69</definedName>
    <definedName name="MemberFirstHeaderUseChanged" localSheetId="2" hidden="1">FRMT_Seller!$L$69</definedName>
    <definedName name="MemberFirstHeaderUseCustom" localSheetId="4" hidden="1">EPMFormatting_VAL!$L$57</definedName>
    <definedName name="MemberFirstHeaderUseCustom" localSheetId="5" hidden="1">EPMFormatting_VAL_GRP!$L$57</definedName>
    <definedName name="MemberFirstHeaderUseCustom" localSheetId="0" hidden="1">EPMFormattingSheet!$L$99</definedName>
    <definedName name="MemberFirstHeaderUseCustom" localSheetId="1" hidden="1">FRMT_BUYER!$L$57</definedName>
    <definedName name="MemberFirstHeaderUseCustom" localSheetId="2" hidden="1">FRMT_Seller!$L$57</definedName>
    <definedName name="MemberFirstHeaderUseInputable" localSheetId="4" hidden="1">EPMFormatting_VAL!$L$63</definedName>
    <definedName name="MemberFirstHeaderUseInputable" localSheetId="5" hidden="1">EPMFormatting_VAL_GRP!$L$63</definedName>
    <definedName name="MemberFirstHeaderUseInputable" localSheetId="0" hidden="1">EPMFormattingSheet!$L$105</definedName>
    <definedName name="MemberFirstHeaderUseInputable" localSheetId="1" hidden="1">FRMT_BUYER!$L$63</definedName>
    <definedName name="MemberFirstHeaderUseInputable" localSheetId="2" hidden="1">FRMT_Seller!$L$63</definedName>
    <definedName name="MemberFirstHeaderUseItem_1" localSheetId="4" hidden="1">EPMFormatting_VAL!$L$74</definedName>
    <definedName name="MemberFirstHeaderUseItem_1" localSheetId="5" hidden="1">EPMFormatting_VAL_GRP!$L$74</definedName>
    <definedName name="MemberFirstHeaderUseItem_1" localSheetId="0" hidden="1">EPMFormattingSheet!$L$116</definedName>
    <definedName name="MemberFirstHeaderUseItem_2" localSheetId="4" hidden="1">EPMFormatting_VAL!$L$77</definedName>
    <definedName name="MemberFirstHeaderUseItem_2" localSheetId="5" hidden="1">EPMFormatting_VAL_GRP!$L$77</definedName>
    <definedName name="MemberFirstHeaderUseItem_3" localSheetId="4" hidden="1">EPMFormatting_VAL!$L$80</definedName>
    <definedName name="MemberFirstHeaderUseItem_3" localSheetId="5" hidden="1">EPMFormatting_VAL_GRP!$L$80</definedName>
    <definedName name="MemberFirstHeaderUseItem_4" localSheetId="4" hidden="1">EPMFormatting_VAL!$L$83</definedName>
    <definedName name="MemberFirstHeaderUseItem_4" localSheetId="5" hidden="1">EPMFormatting_VAL_GRP!$L$83</definedName>
    <definedName name="MemberFirstHeaderUseItem_5" localSheetId="5" hidden="1">EPMFormatting_VAL_GRP!$L$86</definedName>
    <definedName name="MemberFirstHeaderUseLocal" localSheetId="4" hidden="1">EPMFormatting_VAL!$L$66</definedName>
    <definedName name="MemberFirstHeaderUseLocal" localSheetId="5" hidden="1">EPMFormatting_VAL_GRP!$L$66</definedName>
    <definedName name="MemberFirstHeaderUseLocal" localSheetId="0" hidden="1">EPMFormattingSheet!$L$108</definedName>
    <definedName name="MemberFirstHeaderUseLocal" localSheetId="1" hidden="1">FRMT_BUYER!$L$66</definedName>
    <definedName name="MemberFirstHeaderUseLocal" localSheetId="2" hidden="1">FRMT_Seller!$L$66</definedName>
    <definedName name="MemberSecondBlock" localSheetId="4" hidden="1">EPMFormatting_VAL!$B$87:$B$107</definedName>
    <definedName name="MemberSecondBlock" localSheetId="5" hidden="1">EPMFormatting_VAL_GRP!$B$90:$B$110</definedName>
    <definedName name="MemberSecondBlock" localSheetId="0" hidden="1">EPMFormattingSheet!$B$54:$B$95</definedName>
    <definedName name="MemberSecondBlock" localSheetId="1" hidden="1">FRMT_BUYER!$B$75:$B$98</definedName>
    <definedName name="MemberSecondBlock" localSheetId="2" hidden="1">FRMT_Seller!$B$75:$B$104</definedName>
    <definedName name="MemberSecondDataCalculated" localSheetId="4" hidden="1">EPMFormatting_VAL!$F$93</definedName>
    <definedName name="MemberSecondDataCalculated" localSheetId="5" hidden="1">EPMFormatting_VAL_GRP!$F$96</definedName>
    <definedName name="MemberSecondDataCalculated" localSheetId="0" hidden="1">EPMFormattingSheet!$F$60</definedName>
    <definedName name="MemberSecondDataCalculated" localSheetId="1" hidden="1">FRMT_BUYER!$F$81</definedName>
    <definedName name="MemberSecondDataCalculated" localSheetId="2" hidden="1">FRMT_Seller!$F$81</definedName>
    <definedName name="MemberSecondDataChanged" localSheetId="4" hidden="1">EPMFormatting_VAL!$F$102</definedName>
    <definedName name="MemberSecondDataChanged" localSheetId="5" hidden="1">EPMFormatting_VAL_GRP!$F$105</definedName>
    <definedName name="MemberSecondDataChanged" localSheetId="0" hidden="1">EPMFormattingSheet!$F$69</definedName>
    <definedName name="MemberSecondDataChanged" localSheetId="1" hidden="1">FRMT_BUYER!$F$90</definedName>
    <definedName name="MemberSecondDataChanged" localSheetId="2" hidden="1">FRMT_Seller!$F$90</definedName>
    <definedName name="MemberSecondDataCustom" localSheetId="4" hidden="1">EPMFormatting_VAL!$F$90</definedName>
    <definedName name="MemberSecondDataCustom" localSheetId="5" hidden="1">EPMFormatting_VAL_GRP!$F$93</definedName>
    <definedName name="MemberSecondDataCustom" localSheetId="0" hidden="1">EPMFormattingSheet!$F$57</definedName>
    <definedName name="MemberSecondDataCustom" localSheetId="1" hidden="1">FRMT_BUYER!$F$78</definedName>
    <definedName name="MemberSecondDataCustom" localSheetId="2" hidden="1">FRMT_Seller!$F$78</definedName>
    <definedName name="MemberSecondDataInputable" localSheetId="4" hidden="1">EPMFormatting_VAL!$F$96</definedName>
    <definedName name="MemberSecondDataInputable" localSheetId="5" hidden="1">EPMFormatting_VAL_GRP!$F$99</definedName>
    <definedName name="MemberSecondDataInputable" localSheetId="0" hidden="1">EPMFormattingSheet!$F$63</definedName>
    <definedName name="MemberSecondDataInputable" localSheetId="1" hidden="1">FRMT_BUYER!$F$84</definedName>
    <definedName name="MemberSecondDataInputable" localSheetId="2" hidden="1">FRMT_Seller!$F$84</definedName>
    <definedName name="MemberSecondDataItem_1" localSheetId="0" hidden="1">EPMFormattingSheet!$F$74</definedName>
    <definedName name="MemberSecondDataItem_1" localSheetId="1" hidden="1">FRMT_BUYER!$F$95</definedName>
    <definedName name="MemberSecondDataItem_1" localSheetId="2" hidden="1">FRMT_Seller!$F$95</definedName>
    <definedName name="MemberSecondDataItem_2" localSheetId="0" hidden="1">EPMFormattingSheet!$F$77</definedName>
    <definedName name="MemberSecondDataItem_2" localSheetId="2" hidden="1">FRMT_Seller!$F$98</definedName>
    <definedName name="MemberSecondDataItem_3" localSheetId="0" hidden="1">EPMFormattingSheet!$F$80</definedName>
    <definedName name="MemberSecondDataItem_3" localSheetId="2" hidden="1">FRMT_Seller!$F$101</definedName>
    <definedName name="MemberSecondDataItem_4" localSheetId="0" hidden="1">EPMFormattingSheet!$F$83</definedName>
    <definedName name="MemberSecondDataItem_5" localSheetId="0" hidden="1">EPMFormattingSheet!$F$86</definedName>
    <definedName name="MemberSecondDataItem_6" localSheetId="0" hidden="1">EPMFormattingSheet!$F$89</definedName>
    <definedName name="MemberSecondDataItem_7" localSheetId="0" hidden="1">EPMFormattingSheet!$F$92</definedName>
    <definedName name="MemberSecondDataLocal" localSheetId="4" hidden="1">EPMFormatting_VAL!$F$99</definedName>
    <definedName name="MemberSecondDataLocal" localSheetId="5" hidden="1">EPMFormatting_VAL_GRP!$F$102</definedName>
    <definedName name="MemberSecondDataLocal" localSheetId="0" hidden="1">EPMFormattingSheet!$F$66</definedName>
    <definedName name="MemberSecondDataLocal" localSheetId="1" hidden="1">FRMT_BUYER!$F$87</definedName>
    <definedName name="MemberSecondDataLocal" localSheetId="2" hidden="1">FRMT_Seller!$F$87</definedName>
    <definedName name="MemberSecondDataUseCalculated" localSheetId="4" hidden="1">EPMFormatting_VAL!$H$93</definedName>
    <definedName name="MemberSecondDataUseCalculated" localSheetId="5" hidden="1">EPMFormatting_VAL_GRP!$H$96</definedName>
    <definedName name="MemberSecondDataUseCalculated" localSheetId="0" hidden="1">EPMFormattingSheet!$H$60</definedName>
    <definedName name="MemberSecondDataUseCalculated" localSheetId="1" hidden="1">FRMT_BUYER!$H$81</definedName>
    <definedName name="MemberSecondDataUseCalculated" localSheetId="2" hidden="1">FRMT_Seller!$H$81</definedName>
    <definedName name="MemberSecondDataUseChanged" localSheetId="4" hidden="1">EPMFormatting_VAL!$H$102</definedName>
    <definedName name="MemberSecondDataUseChanged" localSheetId="5" hidden="1">EPMFormatting_VAL_GRP!$H$105</definedName>
    <definedName name="MemberSecondDataUseChanged" localSheetId="0" hidden="1">EPMFormattingSheet!$H$69</definedName>
    <definedName name="MemberSecondDataUseChanged" localSheetId="1" hidden="1">FRMT_BUYER!$H$90</definedName>
    <definedName name="MemberSecondDataUseChanged" localSheetId="2" hidden="1">FRMT_Seller!$H$90</definedName>
    <definedName name="MemberSecondDataUseCustom" localSheetId="4" hidden="1">EPMFormatting_VAL!$H$90</definedName>
    <definedName name="MemberSecondDataUseCustom" localSheetId="5" hidden="1">EPMFormatting_VAL_GRP!$H$93</definedName>
    <definedName name="MemberSecondDataUseCustom" localSheetId="0" hidden="1">EPMFormattingSheet!$H$57</definedName>
    <definedName name="MemberSecondDataUseCustom" localSheetId="1" hidden="1">FRMT_BUYER!$H$78</definedName>
    <definedName name="MemberSecondDataUseCustom" localSheetId="2" hidden="1">FRMT_Seller!$H$78</definedName>
    <definedName name="MemberSecondDataUseInputable" localSheetId="4" hidden="1">EPMFormatting_VAL!$H$96</definedName>
    <definedName name="MemberSecondDataUseInputable" localSheetId="5" hidden="1">EPMFormatting_VAL_GRP!$H$99</definedName>
    <definedName name="MemberSecondDataUseInputable" localSheetId="0" hidden="1">EPMFormattingSheet!$H$63</definedName>
    <definedName name="MemberSecondDataUseInputable" localSheetId="1" hidden="1">FRMT_BUYER!$H$84</definedName>
    <definedName name="MemberSecondDataUseInputable" localSheetId="2" hidden="1">FRMT_Seller!$H$84</definedName>
    <definedName name="MemberSecondDataUseItem_1" localSheetId="0" hidden="1">EPMFormattingSheet!$H$74</definedName>
    <definedName name="MemberSecondDataUseItem_1" localSheetId="1" hidden="1">FRMT_BUYER!$H$95</definedName>
    <definedName name="MemberSecondDataUseItem_1" localSheetId="2" hidden="1">FRMT_Seller!$H$95</definedName>
    <definedName name="MemberSecondDataUseItem_2" localSheetId="0" hidden="1">EPMFormattingSheet!$H$77</definedName>
    <definedName name="MemberSecondDataUseItem_2" localSheetId="2" hidden="1">FRMT_Seller!$H$98</definedName>
    <definedName name="MemberSecondDataUseItem_3" localSheetId="0" hidden="1">EPMFormattingSheet!$H$80</definedName>
    <definedName name="MemberSecondDataUseItem_3" localSheetId="2" hidden="1">FRMT_Seller!$H$101</definedName>
    <definedName name="MemberSecondDataUseItem_4" localSheetId="0" hidden="1">EPMFormattingSheet!$H$83</definedName>
    <definedName name="MemberSecondDataUseItem_5" localSheetId="0" hidden="1">EPMFormattingSheet!$H$86</definedName>
    <definedName name="MemberSecondDataUseItem_6" localSheetId="0" hidden="1">EPMFormattingSheet!$H$89</definedName>
    <definedName name="MemberSecondDataUseItem_7" localSheetId="0" hidden="1">EPMFormattingSheet!$H$92</definedName>
    <definedName name="MemberSecondDataUseLocal" localSheetId="4" hidden="1">EPMFormatting_VAL!$H$99</definedName>
    <definedName name="MemberSecondDataUseLocal" localSheetId="5" hidden="1">EPMFormatting_VAL_GRP!$H$102</definedName>
    <definedName name="MemberSecondDataUseLocal" localSheetId="0" hidden="1">EPMFormattingSheet!$H$66</definedName>
    <definedName name="MemberSecondDataUseLocal" localSheetId="1" hidden="1">FRMT_BUYER!$H$87</definedName>
    <definedName name="MemberSecondDataUseLocal" localSheetId="2" hidden="1">FRMT_Seller!$H$87</definedName>
    <definedName name="MemberSecondHeaderCalculated" localSheetId="4" hidden="1">EPMFormatting_VAL!$J$93</definedName>
    <definedName name="MemberSecondHeaderCalculated" localSheetId="5" hidden="1">EPMFormatting_VAL_GRP!$J$96</definedName>
    <definedName name="MemberSecondHeaderCalculated" localSheetId="0" hidden="1">EPMFormattingSheet!$J$60</definedName>
    <definedName name="MemberSecondHeaderCalculated" localSheetId="1" hidden="1">FRMT_BUYER!$J$81</definedName>
    <definedName name="MemberSecondHeaderCalculated" localSheetId="2" hidden="1">FRMT_Seller!$J$81</definedName>
    <definedName name="MemberSecondHeaderChanged" localSheetId="4" hidden="1">EPMFormatting_VAL!$J$102</definedName>
    <definedName name="MemberSecondHeaderChanged" localSheetId="5" hidden="1">EPMFormatting_VAL_GRP!$J$105</definedName>
    <definedName name="MemberSecondHeaderChanged" localSheetId="0" hidden="1">EPMFormattingSheet!$J$69</definedName>
    <definedName name="MemberSecondHeaderChanged" localSheetId="1" hidden="1">FRMT_BUYER!$J$90</definedName>
    <definedName name="MemberSecondHeaderChanged" localSheetId="2" hidden="1">FRMT_Seller!$J$90</definedName>
    <definedName name="MemberSecondHeaderCustom" localSheetId="4" hidden="1">EPMFormatting_VAL!$J$90</definedName>
    <definedName name="MemberSecondHeaderCustom" localSheetId="5" hidden="1">EPMFormatting_VAL_GRP!$J$93</definedName>
    <definedName name="MemberSecondHeaderCustom" localSheetId="0" hidden="1">EPMFormattingSheet!$J$57</definedName>
    <definedName name="MemberSecondHeaderCustom" localSheetId="1" hidden="1">FRMT_BUYER!$J$78</definedName>
    <definedName name="MemberSecondHeaderCustom" localSheetId="2" hidden="1">FRMT_Seller!$J$78</definedName>
    <definedName name="MemberSecondHeaderInputable" localSheetId="4" hidden="1">EPMFormatting_VAL!$J$96</definedName>
    <definedName name="MemberSecondHeaderInputable" localSheetId="5" hidden="1">EPMFormatting_VAL_GRP!$J$99</definedName>
    <definedName name="MemberSecondHeaderInputable" localSheetId="0" hidden="1">EPMFormattingSheet!$J$63</definedName>
    <definedName name="MemberSecondHeaderInputable" localSheetId="1" hidden="1">FRMT_BUYER!$J$84</definedName>
    <definedName name="MemberSecondHeaderInputable" localSheetId="2" hidden="1">FRMT_Seller!$J$84</definedName>
    <definedName name="MemberSecondHeaderItem_1" localSheetId="0" hidden="1">EPMFormattingSheet!$J$74</definedName>
    <definedName name="MemberSecondHeaderItem_1" localSheetId="1" hidden="1">FRMT_BUYER!$J$95</definedName>
    <definedName name="MemberSecondHeaderItem_1" localSheetId="2" hidden="1">FRMT_Seller!$J$95</definedName>
    <definedName name="MemberSecondHeaderItem_2" localSheetId="0" hidden="1">EPMFormattingSheet!$J$77</definedName>
    <definedName name="MemberSecondHeaderItem_2" localSheetId="2" hidden="1">FRMT_Seller!$J$98</definedName>
    <definedName name="MemberSecondHeaderItem_3" localSheetId="0" hidden="1">EPMFormattingSheet!$J$80</definedName>
    <definedName name="MemberSecondHeaderItem_3" localSheetId="2" hidden="1">FRMT_Seller!$J$101</definedName>
    <definedName name="MemberSecondHeaderItem_4" localSheetId="0" hidden="1">EPMFormattingSheet!$J$83</definedName>
    <definedName name="MemberSecondHeaderItem_5" localSheetId="0" hidden="1">EPMFormattingSheet!$J$86</definedName>
    <definedName name="MemberSecondHeaderItem_6" localSheetId="0" hidden="1">EPMFormattingSheet!$J$89</definedName>
    <definedName name="MemberSecondHeaderItem_7" localSheetId="0" hidden="1">EPMFormattingSheet!$J$92</definedName>
    <definedName name="MemberSecondHeaderLocal" localSheetId="4" hidden="1">EPMFormatting_VAL!$J$99</definedName>
    <definedName name="MemberSecondHeaderLocal" localSheetId="5" hidden="1">EPMFormatting_VAL_GRP!$J$102</definedName>
    <definedName name="MemberSecondHeaderLocal" localSheetId="0" hidden="1">EPMFormattingSheet!$J$66</definedName>
    <definedName name="MemberSecondHeaderLocal" localSheetId="1" hidden="1">FRMT_BUYER!$J$87</definedName>
    <definedName name="MemberSecondHeaderLocal" localSheetId="2" hidden="1">FRMT_Seller!$J$87</definedName>
    <definedName name="MemberSecondHeaderUseCalculated" localSheetId="4" hidden="1">EPMFormatting_VAL!$L$93</definedName>
    <definedName name="MemberSecondHeaderUseCalculated" localSheetId="5" hidden="1">EPMFormatting_VAL_GRP!$L$96</definedName>
    <definedName name="MemberSecondHeaderUseCalculated" localSheetId="0" hidden="1">EPMFormattingSheet!$L$60</definedName>
    <definedName name="MemberSecondHeaderUseCalculated" localSheetId="1" hidden="1">FRMT_BUYER!$L$81</definedName>
    <definedName name="MemberSecondHeaderUseCalculated" localSheetId="2" hidden="1">FRMT_Seller!$L$81</definedName>
    <definedName name="MemberSecondHeaderUseChanged" localSheetId="4" hidden="1">EPMFormatting_VAL!$L$102</definedName>
    <definedName name="MemberSecondHeaderUseChanged" localSheetId="5" hidden="1">EPMFormatting_VAL_GRP!$L$105</definedName>
    <definedName name="MemberSecondHeaderUseChanged" localSheetId="0" hidden="1">EPMFormattingSheet!$L$69</definedName>
    <definedName name="MemberSecondHeaderUseChanged" localSheetId="1" hidden="1">FRMT_BUYER!$L$90</definedName>
    <definedName name="MemberSecondHeaderUseChanged" localSheetId="2" hidden="1">FRMT_Seller!$L$90</definedName>
    <definedName name="MemberSecondHeaderUseCustom" localSheetId="4" hidden="1">EPMFormatting_VAL!$L$90</definedName>
    <definedName name="MemberSecondHeaderUseCustom" localSheetId="5" hidden="1">EPMFormatting_VAL_GRP!$L$93</definedName>
    <definedName name="MemberSecondHeaderUseCustom" localSheetId="0" hidden="1">EPMFormattingSheet!$L$57</definedName>
    <definedName name="MemberSecondHeaderUseCustom" localSheetId="1" hidden="1">FRMT_BUYER!$L$78</definedName>
    <definedName name="MemberSecondHeaderUseCustom" localSheetId="2" hidden="1">FRMT_Seller!$L$78</definedName>
    <definedName name="MemberSecondHeaderUseInputable" localSheetId="4" hidden="1">EPMFormatting_VAL!$L$96</definedName>
    <definedName name="MemberSecondHeaderUseInputable" localSheetId="5" hidden="1">EPMFormatting_VAL_GRP!$L$99</definedName>
    <definedName name="MemberSecondHeaderUseInputable" localSheetId="0" hidden="1">EPMFormattingSheet!$L$63</definedName>
    <definedName name="MemberSecondHeaderUseInputable" localSheetId="1" hidden="1">FRMT_BUYER!$L$84</definedName>
    <definedName name="MemberSecondHeaderUseInputable" localSheetId="2" hidden="1">FRMT_Seller!$L$84</definedName>
    <definedName name="MemberSecondHeaderUseItem_1" localSheetId="0" hidden="1">EPMFormattingSheet!$L$74</definedName>
    <definedName name="MemberSecondHeaderUseItem_1" localSheetId="1" hidden="1">FRMT_BUYER!$L$95</definedName>
    <definedName name="MemberSecondHeaderUseItem_1" localSheetId="2" hidden="1">FRMT_Seller!$L$95</definedName>
    <definedName name="MemberSecondHeaderUseItem_2" localSheetId="0" hidden="1">EPMFormattingSheet!$L$77</definedName>
    <definedName name="MemberSecondHeaderUseItem_2" localSheetId="2" hidden="1">FRMT_Seller!$L$98</definedName>
    <definedName name="MemberSecondHeaderUseItem_3" localSheetId="0" hidden="1">EPMFormattingSheet!$L$80</definedName>
    <definedName name="MemberSecondHeaderUseItem_3" localSheetId="2" hidden="1">FRMT_Seller!$L$101</definedName>
    <definedName name="MemberSecondHeaderUseItem_4" localSheetId="0" hidden="1">EPMFormattingSheet!$L$83</definedName>
    <definedName name="MemberSecondHeaderUseItem_5" localSheetId="0" hidden="1">EPMFormattingSheet!$L$86</definedName>
    <definedName name="MemberSecondHeaderUseItem_6" localSheetId="0" hidden="1">EPMFormattingSheet!$L$89</definedName>
    <definedName name="MemberSecondHeaderUseItem_7" localSheetId="0" hidden="1">EPMFormattingSheet!$L$92</definedName>
    <definedName name="MemberSecondHeaderUseLocal" localSheetId="4" hidden="1">EPMFormatting_VAL!$L$99</definedName>
    <definedName name="MemberSecondHeaderUseLocal" localSheetId="5" hidden="1">EPMFormatting_VAL_GRP!$L$102</definedName>
    <definedName name="MemberSecondHeaderUseLocal" localSheetId="0" hidden="1">EPMFormattingSheet!$L$66</definedName>
    <definedName name="MemberSecondHeaderUseLocal" localSheetId="1" hidden="1">FRMT_BUYER!$L$87</definedName>
    <definedName name="MemberSecondHeaderUseLocal" localSheetId="2" hidden="1">FRMT_Seller!$L$87</definedName>
    <definedName name="OddDataFirst" localSheetId="4" hidden="1">EPMFormatting_VAL!$F$115</definedName>
    <definedName name="OddDataFirst" localSheetId="5" hidden="1">EPMFormatting_VAL_GRP!$F$118</definedName>
    <definedName name="OddDataFirst" localSheetId="0" hidden="1">EPMFormattingSheet!$F$127</definedName>
    <definedName name="OddDataFirst" localSheetId="1" hidden="1">FRMT_BUYER!$F$106</definedName>
    <definedName name="OddDataFirst" localSheetId="2" hidden="1">FRMT_Seller!$F$112</definedName>
    <definedName name="OddDataSecond" localSheetId="4" hidden="1">EPMFormatting_VAL!$F$123</definedName>
    <definedName name="OddDataSecond" localSheetId="5" hidden="1">EPMFormatting_VAL_GRP!$F$126</definedName>
    <definedName name="OddDataSecond" localSheetId="0" hidden="1">EPMFormattingSheet!$F$135</definedName>
    <definedName name="OddDataSecond" localSheetId="1" hidden="1">FRMT_BUYER!$F$114</definedName>
    <definedName name="OddDataSecond" localSheetId="2" hidden="1">FRMT_Seller!$F$120</definedName>
    <definedName name="OddDataUseFirst" localSheetId="4" hidden="1">EPMFormatting_VAL!$H$115</definedName>
    <definedName name="OddDataUseFirst" localSheetId="5" hidden="1">EPMFormatting_VAL_GRP!$H$118</definedName>
    <definedName name="OddDataUseFirst" localSheetId="0" hidden="1">EPMFormattingSheet!$H$127</definedName>
    <definedName name="OddDataUseFirst" localSheetId="1" hidden="1">FRMT_BUYER!$H$106</definedName>
    <definedName name="OddDataUseFirst" localSheetId="2" hidden="1">FRMT_Seller!$H$112</definedName>
    <definedName name="OddDataUseSecond" localSheetId="4" hidden="1">EPMFormatting_VAL!$H$123</definedName>
    <definedName name="OddDataUseSecond" localSheetId="5" hidden="1">EPMFormatting_VAL_GRP!$H$126</definedName>
    <definedName name="OddDataUseSecond" localSheetId="0" hidden="1">EPMFormattingSheet!$H$135</definedName>
    <definedName name="OddDataUseSecond" localSheetId="1" hidden="1">FRMT_BUYER!$H$114</definedName>
    <definedName name="OddDataUseSecond" localSheetId="2" hidden="1">FRMT_Seller!$H$120</definedName>
    <definedName name="OddEvenEndBlock" localSheetId="4" hidden="1">EPMFormatting_VAL!$B$128</definedName>
    <definedName name="OddEvenEndBlock" localSheetId="5" hidden="1">EPMFormatting_VAL_GRP!$B$131</definedName>
    <definedName name="OddEvenEndBlock" localSheetId="0" hidden="1">EPMFormattingSheet!$B$140</definedName>
    <definedName name="OddEvenEndBlock" localSheetId="1" hidden="1">FRMT_BUYER!$B$119</definedName>
    <definedName name="OddEvenEndBlock" localSheetId="2" hidden="1">FRMT_Seller!$B$125</definedName>
    <definedName name="OddEvenFirstBlock" localSheetId="4" hidden="1">EPMFormatting_VAL!$B$112:$B$119</definedName>
    <definedName name="OddEvenFirstBlock" localSheetId="5" hidden="1">EPMFormatting_VAL_GRP!$B$115:$B$122</definedName>
    <definedName name="OddEvenFirstBlock" localSheetId="0" hidden="1">EPMFormattingSheet!$B$124:$B$131</definedName>
    <definedName name="OddEvenFirstBlock" localSheetId="1" hidden="1">FRMT_BUYER!$B$103:$B$110</definedName>
    <definedName name="OddEvenFirstBlock" localSheetId="2" hidden="1">FRMT_Seller!$B$109:$B$116</definedName>
    <definedName name="OddEvenSecondBlock" localSheetId="4" hidden="1">EPMFormatting_VAL!$B$120:$B$127</definedName>
    <definedName name="OddEvenSecondBlock" localSheetId="5" hidden="1">EPMFormatting_VAL_GRP!$B$123:$B$130</definedName>
    <definedName name="OddEvenSecondBlock" localSheetId="0" hidden="1">EPMFormattingSheet!$B$132:$B$139</definedName>
    <definedName name="OddEvenSecondBlock" localSheetId="1" hidden="1">FRMT_BUYER!$B$111:$B$118</definedName>
    <definedName name="OddEvenSecondBlock" localSheetId="2" hidden="1">FRMT_Seller!$B$117:$B$124</definedName>
    <definedName name="OddHeaderFirst" localSheetId="4" hidden="1">EPMFormatting_VAL!$J$115</definedName>
    <definedName name="OddHeaderFirst" localSheetId="5" hidden="1">EPMFormatting_VAL_GRP!$J$118</definedName>
    <definedName name="OddHeaderFirst" localSheetId="0" hidden="1">EPMFormattingSheet!$J$127</definedName>
    <definedName name="OddHeaderFirst" localSheetId="1" hidden="1">FRMT_BUYER!$J$106</definedName>
    <definedName name="OddHeaderFirst" localSheetId="2" hidden="1">FRMT_Seller!$J$112</definedName>
    <definedName name="OddHeaderSecond" localSheetId="4" hidden="1">EPMFormatting_VAL!$J$123</definedName>
    <definedName name="OddHeaderSecond" localSheetId="5" hidden="1">EPMFormatting_VAL_GRP!$J$126</definedName>
    <definedName name="OddHeaderSecond" localSheetId="0" hidden="1">EPMFormattingSheet!$J$135</definedName>
    <definedName name="OddHeaderSecond" localSheetId="1" hidden="1">FRMT_BUYER!$J$114</definedName>
    <definedName name="OddHeaderSecond" localSheetId="2" hidden="1">FRMT_Seller!$J$120</definedName>
    <definedName name="OddHeaderUseFirst" localSheetId="4" hidden="1">EPMFormatting_VAL!$L$115</definedName>
    <definedName name="OddHeaderUseFirst" localSheetId="5" hidden="1">EPMFormatting_VAL_GRP!$L$118</definedName>
    <definedName name="OddHeaderUseFirst" localSheetId="0" hidden="1">EPMFormattingSheet!$L$127</definedName>
    <definedName name="OddHeaderUseFirst" localSheetId="1" hidden="1">FRMT_BUYER!$L$106</definedName>
    <definedName name="OddHeaderUseFirst" localSheetId="2" hidden="1">FRMT_Seller!$L$112</definedName>
    <definedName name="OddHeaderUseSecond" localSheetId="4" hidden="1">EPMFormatting_VAL!$L$123</definedName>
    <definedName name="OddHeaderUseSecond" localSheetId="5" hidden="1">EPMFormatting_VAL_GRP!$L$126</definedName>
    <definedName name="OddHeaderUseSecond" localSheetId="0" hidden="1">EPMFormattingSheet!$L$135</definedName>
    <definedName name="OddHeaderUseSecond" localSheetId="1" hidden="1">FRMT_BUYER!$L$114</definedName>
    <definedName name="OddHeaderUseSecond" localSheetId="2" hidden="1">FRMT_Seller!$L$120</definedName>
    <definedName name="PageHeaderDefaultHeader" localSheetId="4" hidden="1">EPMFormatting_VAL!$F$134</definedName>
    <definedName name="PageHeaderDefaultHeader" localSheetId="5" hidden="1">EPMFormatting_VAL_GRP!$F$137</definedName>
    <definedName name="PageHeaderDefaultHeader" localSheetId="0" hidden="1">EPMFormattingSheet!$F$146</definedName>
    <definedName name="PageHeaderDefaultHeader" localSheetId="1" hidden="1">FRMT_BUYER!$F$125</definedName>
    <definedName name="PageHeaderDefaultHeader" localSheetId="2" hidden="1">FRMT_Seller!$F$131</definedName>
    <definedName name="PageHeaderDefaultHeaderUse" localSheetId="4" hidden="1">EPMFormatting_VAL!$H$134:$L$134</definedName>
    <definedName name="PageHeaderDefaultHeaderUse" localSheetId="5" hidden="1">EPMFormatting_VAL_GRP!$H$137:$L$137</definedName>
    <definedName name="PageHeaderDefaultHeaderUse" localSheetId="0" hidden="1">EPMFormattingSheet!$H$146:$L$146</definedName>
    <definedName name="PageHeaderDefaultHeaderUse" localSheetId="1" hidden="1">FRMT_BUYER!$H$125:$L$125</definedName>
    <definedName name="PageHeaderDefaultHeaderUse" localSheetId="2" hidden="1">FRMT_Seller!$H$131:$L$131</definedName>
    <definedName name="RemoveLevelFirst" localSheetId="4" hidden="1">EPMFormatting_VAL!$D$26</definedName>
    <definedName name="RemoveLevelFirst" localSheetId="5" hidden="1">EPMFormatting_VAL_GRP!$D$26</definedName>
    <definedName name="RemoveLevelFirst" localSheetId="0" hidden="1">EPMFormattingSheet!$D$26</definedName>
    <definedName name="RemoveLevelFirst" localSheetId="1" hidden="1">FRMT_BUYER!$D$26</definedName>
    <definedName name="RemoveLevelFirst" localSheetId="2" hidden="1">FRMT_Seller!$D$26</definedName>
    <definedName name="RemoveLevelSecond" localSheetId="4" hidden="1">EPMFormatting_VAL!$D$47</definedName>
    <definedName name="RemoveLevelSecond" localSheetId="5" hidden="1">EPMFormatting_VAL_GRP!$D$47</definedName>
    <definedName name="RemoveLevelSecond" localSheetId="0" hidden="1">EPMFormattingSheet!$D$47</definedName>
    <definedName name="RemoveLevelSecond" localSheetId="1" hidden="1">FRMT_BUYER!$D$47</definedName>
    <definedName name="RemoveLevelSecond" localSheetId="2" hidden="1">FRMT_Seller!$D$47</definedName>
    <definedName name="Validation" localSheetId="9">'Missing Buyer %'!$B$43</definedName>
    <definedName name="Valid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65" l="1"/>
  <c r="A6" i="63"/>
  <c r="J19" i="65"/>
  <c r="J16" i="65"/>
  <c r="G23" i="65"/>
  <c r="H23" i="65"/>
  <c r="I23" i="65"/>
  <c r="G24" i="65"/>
  <c r="H24" i="65"/>
  <c r="I24" i="65"/>
  <c r="G25" i="65"/>
  <c r="H25" i="65"/>
  <c r="I25" i="65"/>
  <c r="G26" i="65"/>
  <c r="H26" i="65"/>
  <c r="I26" i="65"/>
  <c r="G27" i="65"/>
  <c r="H27" i="65"/>
  <c r="I27" i="65"/>
  <c r="G28" i="65"/>
  <c r="H28" i="65"/>
  <c r="I28" i="65"/>
  <c r="G29" i="65"/>
  <c r="H29" i="65"/>
  <c r="I29" i="65"/>
  <c r="G30" i="65"/>
  <c r="H30" i="65"/>
  <c r="I30" i="65"/>
  <c r="G31" i="65"/>
  <c r="H31" i="65"/>
  <c r="I31" i="65"/>
  <c r="G32" i="65"/>
  <c r="H32" i="65"/>
  <c r="I32" i="65"/>
  <c r="G33" i="65"/>
  <c r="H33" i="65"/>
  <c r="I33" i="65"/>
  <c r="G34" i="65"/>
  <c r="H34" i="65"/>
  <c r="I34" i="65"/>
  <c r="G35" i="65"/>
  <c r="H35" i="65"/>
  <c r="I35" i="65"/>
  <c r="G36" i="65"/>
  <c r="H36" i="65"/>
  <c r="I36" i="65"/>
  <c r="G37" i="65"/>
  <c r="H37" i="65"/>
  <c r="I37" i="65"/>
  <c r="G38" i="65"/>
  <c r="H38" i="65"/>
  <c r="I38" i="65"/>
  <c r="G39" i="65"/>
  <c r="H39" i="65"/>
  <c r="I39" i="65"/>
  <c r="G40" i="65"/>
  <c r="H40" i="65"/>
  <c r="I40" i="65"/>
  <c r="G41" i="65"/>
  <c r="H41" i="65"/>
  <c r="I41" i="65"/>
  <c r="G11" i="65"/>
  <c r="H11" i="65"/>
  <c r="I11" i="65"/>
  <c r="G12" i="65"/>
  <c r="H12" i="65"/>
  <c r="I12" i="65"/>
  <c r="G13" i="65"/>
  <c r="H13" i="65"/>
  <c r="I13" i="65"/>
  <c r="G14" i="65"/>
  <c r="H14" i="65"/>
  <c r="I14" i="65"/>
  <c r="G15" i="65"/>
  <c r="H15" i="65"/>
  <c r="I15" i="65"/>
  <c r="G16" i="65"/>
  <c r="H16" i="65"/>
  <c r="I16" i="65"/>
  <c r="G17" i="65"/>
  <c r="H17" i="65"/>
  <c r="I17" i="65"/>
  <c r="G18" i="65"/>
  <c r="H18" i="65"/>
  <c r="I18" i="65"/>
  <c r="G19" i="65"/>
  <c r="H19" i="65"/>
  <c r="I19" i="65"/>
  <c r="G20" i="65"/>
  <c r="H20" i="65"/>
  <c r="I20" i="65"/>
  <c r="J10" i="65"/>
  <c r="J19" i="63"/>
  <c r="J16" i="63"/>
  <c r="G23" i="63"/>
  <c r="H23" i="63"/>
  <c r="I23" i="63"/>
  <c r="G24" i="63"/>
  <c r="H24" i="63"/>
  <c r="I24" i="63"/>
  <c r="G25" i="63"/>
  <c r="H25" i="63"/>
  <c r="I25" i="63"/>
  <c r="G26" i="63"/>
  <c r="H26" i="63"/>
  <c r="I26" i="63"/>
  <c r="G27" i="63"/>
  <c r="H27" i="63"/>
  <c r="I27" i="63"/>
  <c r="G28" i="63"/>
  <c r="H28" i="63"/>
  <c r="I28" i="63"/>
  <c r="G29" i="63"/>
  <c r="H29" i="63"/>
  <c r="I29" i="63"/>
  <c r="G30" i="63"/>
  <c r="H30" i="63"/>
  <c r="I30" i="63"/>
  <c r="G31" i="63"/>
  <c r="H31" i="63"/>
  <c r="I31" i="63"/>
  <c r="G32" i="63"/>
  <c r="H32" i="63"/>
  <c r="I32" i="63"/>
  <c r="G33" i="63"/>
  <c r="H33" i="63"/>
  <c r="I33" i="63"/>
  <c r="G34" i="63"/>
  <c r="H34" i="63"/>
  <c r="I34" i="63"/>
  <c r="G35" i="63"/>
  <c r="H35" i="63"/>
  <c r="I35" i="63"/>
  <c r="G36" i="63"/>
  <c r="H36" i="63"/>
  <c r="I36" i="63"/>
  <c r="G37" i="63"/>
  <c r="H37" i="63"/>
  <c r="I37" i="63"/>
  <c r="G38" i="63"/>
  <c r="H38" i="63"/>
  <c r="I38" i="63"/>
  <c r="G39" i="63"/>
  <c r="H39" i="63"/>
  <c r="I39" i="63"/>
  <c r="G40" i="63"/>
  <c r="H40" i="63"/>
  <c r="I40" i="63"/>
  <c r="G11" i="63"/>
  <c r="H11" i="63"/>
  <c r="I11" i="63"/>
  <c r="G12" i="63"/>
  <c r="H12" i="63"/>
  <c r="I12" i="63"/>
  <c r="G13" i="63"/>
  <c r="H13" i="63"/>
  <c r="I13" i="63"/>
  <c r="G14" i="63"/>
  <c r="H14" i="63"/>
  <c r="I14" i="63"/>
  <c r="G15" i="63"/>
  <c r="H15" i="63"/>
  <c r="I15" i="63"/>
  <c r="G16" i="63"/>
  <c r="H16" i="63"/>
  <c r="I16" i="63"/>
  <c r="G17" i="63"/>
  <c r="H17" i="63"/>
  <c r="I17" i="63"/>
  <c r="G18" i="63"/>
  <c r="H18" i="63"/>
  <c r="I18" i="63"/>
  <c r="G19" i="63"/>
  <c r="H19" i="63"/>
  <c r="I19" i="63"/>
  <c r="G20" i="63"/>
  <c r="H20" i="63"/>
  <c r="I20" i="63"/>
  <c r="J10" i="63"/>
  <c r="M25" i="14"/>
  <c r="F25" i="14"/>
  <c r="G25" i="14"/>
  <c r="I25" i="14" s="1"/>
  <c r="A2" i="14"/>
  <c r="H17" i="39"/>
  <c r="I17" i="39"/>
  <c r="J17" i="39"/>
  <c r="K17" i="39"/>
  <c r="A38" i="39"/>
  <c r="A37" i="39"/>
  <c r="H25" i="14" l="1"/>
  <c r="J23" i="65"/>
  <c r="J41" i="65"/>
  <c r="J40" i="65"/>
  <c r="J39" i="65"/>
  <c r="J38" i="65"/>
  <c r="J37" i="65"/>
  <c r="J36" i="65"/>
  <c r="J35" i="65"/>
  <c r="J33" i="65"/>
  <c r="J32" i="65"/>
  <c r="J31" i="65"/>
  <c r="J30" i="65"/>
  <c r="J29" i="65"/>
  <c r="J28" i="65"/>
  <c r="J26" i="65"/>
  <c r="J25" i="65"/>
  <c r="J40" i="63"/>
  <c r="J39" i="63"/>
  <c r="J38" i="63"/>
  <c r="J37" i="63"/>
  <c r="J36" i="63"/>
  <c r="J35" i="63"/>
  <c r="J33" i="63"/>
  <c r="J32" i="63"/>
  <c r="J31" i="63"/>
  <c r="J30" i="63"/>
  <c r="J29" i="63"/>
  <c r="J28" i="63"/>
  <c r="J26" i="63"/>
  <c r="J25" i="63"/>
  <c r="J23" i="63"/>
  <c r="F42" i="63"/>
  <c r="O82" i="65" l="1"/>
  <c r="K82" i="65"/>
  <c r="J82" i="65"/>
  <c r="P82" i="65"/>
  <c r="R82" i="65"/>
  <c r="L82" i="65"/>
  <c r="N82" i="65"/>
  <c r="Q82" i="65"/>
  <c r="S82" i="65"/>
  <c r="M82" i="65"/>
  <c r="F82" i="65" l="1"/>
  <c r="E40" i="63" l="1"/>
  <c r="J34" i="65" l="1"/>
  <c r="J34" i="63"/>
  <c r="D5" i="63"/>
  <c r="D5" i="65"/>
  <c r="D4" i="65"/>
  <c r="D6" i="65"/>
  <c r="D4" i="63"/>
  <c r="I84" i="65" l="1"/>
  <c r="H84" i="65"/>
  <c r="G84" i="65"/>
  <c r="D45" i="66" l="1"/>
  <c r="D42" i="66"/>
  <c r="D39" i="66"/>
  <c r="D24" i="66"/>
  <c r="D21" i="66"/>
  <c r="D18" i="66"/>
  <c r="K65" i="65" l="1"/>
  <c r="S65" i="65"/>
  <c r="Q67" i="65"/>
  <c r="P68" i="65"/>
  <c r="O69" i="65"/>
  <c r="N70" i="65"/>
  <c r="M71" i="65"/>
  <c r="L72" i="65"/>
  <c r="K73" i="65"/>
  <c r="S73" i="65"/>
  <c r="R74" i="65"/>
  <c r="P76" i="65"/>
  <c r="N78" i="65"/>
  <c r="M79" i="65"/>
  <c r="L80" i="65"/>
  <c r="K81" i="65"/>
  <c r="S81" i="65"/>
  <c r="J76" i="65"/>
  <c r="M80" i="65"/>
  <c r="J69" i="65"/>
  <c r="P79" i="65"/>
  <c r="R70" i="65"/>
  <c r="O73" i="65"/>
  <c r="S77" i="65"/>
  <c r="M68" i="65"/>
  <c r="S70" i="65"/>
  <c r="R79" i="65"/>
  <c r="K71" i="65"/>
  <c r="S79" i="65"/>
  <c r="L71" i="65"/>
  <c r="S80" i="65"/>
  <c r="L65" i="65"/>
  <c r="R67" i="65"/>
  <c r="Q68" i="65"/>
  <c r="P69" i="65"/>
  <c r="N71" i="65"/>
  <c r="M72" i="65"/>
  <c r="L73" i="65"/>
  <c r="K74" i="65"/>
  <c r="S74" i="65"/>
  <c r="Q76" i="65"/>
  <c r="P77" i="65"/>
  <c r="N79" i="65"/>
  <c r="L81" i="65"/>
  <c r="J71" i="65"/>
  <c r="L68" i="65"/>
  <c r="N74" i="65"/>
  <c r="R78" i="65"/>
  <c r="L69" i="65"/>
  <c r="Q72" i="65"/>
  <c r="L77" i="65"/>
  <c r="J73" i="65"/>
  <c r="S71" i="65"/>
  <c r="L78" i="65"/>
  <c r="N69" i="65"/>
  <c r="R73" i="65"/>
  <c r="M78" i="65"/>
  <c r="R81" i="65"/>
  <c r="M65" i="65"/>
  <c r="K67" i="65"/>
  <c r="S67" i="65"/>
  <c r="R68" i="65"/>
  <c r="Q69" i="65"/>
  <c r="P70" i="65"/>
  <c r="O71" i="65"/>
  <c r="N72" i="65"/>
  <c r="M73" i="65"/>
  <c r="L74" i="65"/>
  <c r="R76" i="65"/>
  <c r="Q77" i="65"/>
  <c r="P78" i="65"/>
  <c r="N80" i="65"/>
  <c r="M81" i="65"/>
  <c r="M74" i="65"/>
  <c r="K76" i="65"/>
  <c r="R77" i="65"/>
  <c r="K69" i="65"/>
  <c r="P72" i="65"/>
  <c r="K77" i="65"/>
  <c r="K70" i="65"/>
  <c r="S78" i="65"/>
  <c r="M69" i="65"/>
  <c r="Q73" i="65"/>
  <c r="M77" i="65"/>
  <c r="Q81" i="65"/>
  <c r="S72" i="65"/>
  <c r="O76" i="65"/>
  <c r="K80" i="65"/>
  <c r="N65" i="65"/>
  <c r="L67" i="65"/>
  <c r="K68" i="65"/>
  <c r="S68" i="65"/>
  <c r="R69" i="65"/>
  <c r="Q70" i="65"/>
  <c r="P71" i="65"/>
  <c r="N73" i="65"/>
  <c r="S76" i="65"/>
  <c r="Q78" i="65"/>
  <c r="N81" i="65"/>
  <c r="S69" i="65"/>
  <c r="P80" i="65"/>
  <c r="P65" i="65"/>
  <c r="R71" i="65"/>
  <c r="M76" i="65"/>
  <c r="Q80" i="65"/>
  <c r="Q65" i="65"/>
  <c r="L70" i="65"/>
  <c r="P74" i="65"/>
  <c r="K79" i="65"/>
  <c r="R65" i="65"/>
  <c r="M70" i="65"/>
  <c r="Q74" i="65"/>
  <c r="L79" i="65"/>
  <c r="N66" i="65"/>
  <c r="M67" i="65"/>
  <c r="Q71" i="65"/>
  <c r="L76" i="65"/>
  <c r="Q79" i="65"/>
  <c r="N67" i="65"/>
  <c r="P73" i="65"/>
  <c r="K78" i="65"/>
  <c r="P81" i="65"/>
  <c r="N68" i="65"/>
  <c r="R72" i="65"/>
  <c r="N76" i="65"/>
  <c r="R80" i="65"/>
  <c r="P67" i="65"/>
  <c r="K72" i="65"/>
  <c r="N77" i="65"/>
  <c r="L57" i="65"/>
  <c r="N58" i="65"/>
  <c r="P57" i="65"/>
  <c r="S55" i="65"/>
  <c r="Q59" i="65"/>
  <c r="L58" i="65"/>
  <c r="R59" i="65"/>
  <c r="M59" i="65"/>
  <c r="O58" i="65"/>
  <c r="R56" i="65"/>
  <c r="L55" i="65"/>
  <c r="K59" i="65"/>
  <c r="M56" i="65"/>
  <c r="K57" i="65"/>
  <c r="J55" i="65"/>
  <c r="P55" i="65"/>
  <c r="O55" i="65"/>
  <c r="J58" i="65"/>
  <c r="N59" i="65"/>
  <c r="Q57" i="65"/>
  <c r="K56" i="65"/>
  <c r="N56" i="65"/>
  <c r="Q56" i="65"/>
  <c r="O56" i="65"/>
  <c r="S59" i="65"/>
  <c r="S58" i="65"/>
  <c r="J57" i="65"/>
  <c r="P58" i="65"/>
  <c r="S56" i="65"/>
  <c r="M55" i="65"/>
  <c r="Q55" i="65"/>
  <c r="O57" i="65"/>
  <c r="N57" i="65"/>
  <c r="M57" i="65"/>
  <c r="K58" i="65"/>
  <c r="O59" i="65"/>
  <c r="R57" i="65"/>
  <c r="L56" i="65"/>
  <c r="M58" i="65"/>
  <c r="Q58" i="65"/>
  <c r="R58" i="65"/>
  <c r="J56" i="65"/>
  <c r="L59" i="65"/>
  <c r="P56" i="65"/>
  <c r="R55" i="65"/>
  <c r="N55" i="65"/>
  <c r="P59" i="65"/>
  <c r="S57" i="65"/>
  <c r="J59" i="65"/>
  <c r="K55" i="65"/>
  <c r="F43" i="65"/>
  <c r="E27" i="65"/>
  <c r="E20" i="65"/>
  <c r="F20" i="65" s="1"/>
  <c r="E18" i="65"/>
  <c r="E17" i="65"/>
  <c r="E15" i="65"/>
  <c r="E14" i="65"/>
  <c r="E13" i="65"/>
  <c r="E12" i="65"/>
  <c r="F12" i="65" s="1"/>
  <c r="E11" i="65"/>
  <c r="F11" i="65" s="1"/>
  <c r="A3" i="65"/>
  <c r="C1" i="65"/>
  <c r="A7" i="65"/>
  <c r="F71" i="65" l="1"/>
  <c r="F73" i="65"/>
  <c r="F76" i="65"/>
  <c r="E58" i="65"/>
  <c r="F58" i="65" s="1"/>
  <c r="E55" i="65"/>
  <c r="F55" i="65" s="1"/>
  <c r="E59" i="65"/>
  <c r="F59" i="65" s="1"/>
  <c r="E56" i="65"/>
  <c r="F56" i="65" s="1"/>
  <c r="E57" i="65"/>
  <c r="F57" i="65" s="1"/>
  <c r="A5" i="65"/>
  <c r="E16" i="65"/>
  <c r="F16" i="65" s="1"/>
  <c r="E19" i="65"/>
  <c r="F19" i="65" s="1"/>
  <c r="E31" i="65" l="1"/>
  <c r="J67" i="65" l="1"/>
  <c r="O67" i="65"/>
  <c r="J79" i="65"/>
  <c r="O79" i="65"/>
  <c r="J74" i="65"/>
  <c r="J80" i="65"/>
  <c r="O80" i="65"/>
  <c r="I18" i="14" a="1"/>
  <c r="I15" i="14"/>
  <c r="I17" i="14" a="1"/>
  <c r="I16" i="14" a="1"/>
  <c r="I19" i="14" a="1"/>
  <c r="I3" i="39"/>
  <c r="M17" i="39" s="1"/>
  <c r="I7" i="39" a="1"/>
  <c r="I4" i="39" a="1"/>
  <c r="I6" i="39" a="1"/>
  <c r="I5" i="39" a="1"/>
  <c r="J24" i="65" l="1"/>
  <c r="J24" i="63"/>
  <c r="J66" i="65"/>
  <c r="K66" i="65"/>
  <c r="L66" i="65"/>
  <c r="M66" i="65"/>
  <c r="Q66" i="65"/>
  <c r="R66" i="65"/>
  <c r="P66" i="65"/>
  <c r="S66" i="65"/>
  <c r="F79" i="65"/>
  <c r="F80" i="65"/>
  <c r="F67" i="65"/>
  <c r="O74" i="65"/>
  <c r="F74" i="65" s="1"/>
  <c r="O66" i="65"/>
  <c r="E32" i="65"/>
  <c r="I16" i="14"/>
  <c r="I18" i="14"/>
  <c r="I17" i="14"/>
  <c r="I19" i="14"/>
  <c r="H4" i="14" s="1" a="1"/>
  <c r="H4" i="14" s="1"/>
  <c r="I4" i="39"/>
  <c r="I7" i="39"/>
  <c r="B2" i="39" s="1" a="1"/>
  <c r="B2" i="39" s="1"/>
  <c r="I5" i="39"/>
  <c r="I6" i="39"/>
  <c r="F66" i="65" l="1"/>
  <c r="J72" i="65" l="1"/>
  <c r="O72" i="65"/>
  <c r="E30" i="65"/>
  <c r="E29" i="65"/>
  <c r="F8" i="15" a="1"/>
  <c r="F7" i="15" a="1"/>
  <c r="F9" i="15"/>
  <c r="F72" i="65" l="1"/>
  <c r="F7" i="15"/>
  <c r="F8" i="15"/>
  <c r="H23" i="14"/>
  <c r="J22" i="14"/>
  <c r="M23" i="14"/>
  <c r="I22" i="14"/>
  <c r="L22" i="14"/>
  <c r="L23" i="14"/>
  <c r="K23" i="14"/>
  <c r="I23" i="14"/>
  <c r="H22" i="14"/>
  <c r="M22" i="14"/>
  <c r="J23" i="14"/>
  <c r="K22" i="14"/>
  <c r="L16" i="39"/>
  <c r="J81" i="65" l="1"/>
  <c r="O81" i="65"/>
  <c r="J78" i="65"/>
  <c r="O78" i="65"/>
  <c r="J77" i="65"/>
  <c r="O77" i="65"/>
  <c r="J70" i="65"/>
  <c r="O70" i="65"/>
  <c r="E39" i="65"/>
  <c r="E28" i="65"/>
  <c r="K75" i="65" l="1"/>
  <c r="K84" i="65" s="1"/>
  <c r="L75" i="65"/>
  <c r="L84" i="65" s="1"/>
  <c r="E33" i="65"/>
  <c r="O75" i="65"/>
  <c r="N75" i="65"/>
  <c r="N84" i="65" s="1"/>
  <c r="S75" i="65"/>
  <c r="S84" i="65" s="1"/>
  <c r="P75" i="65"/>
  <c r="P84" i="65" s="1"/>
  <c r="R75" i="65"/>
  <c r="R84" i="65" s="1"/>
  <c r="Q75" i="65"/>
  <c r="Q84" i="65" s="1"/>
  <c r="M75" i="65"/>
  <c r="M84" i="65" s="1"/>
  <c r="J75" i="65"/>
  <c r="F77" i="65"/>
  <c r="F78" i="65"/>
  <c r="F81" i="65"/>
  <c r="O65" i="65"/>
  <c r="J65" i="65"/>
  <c r="F70" i="65"/>
  <c r="E23" i="65"/>
  <c r="E24" i="65"/>
  <c r="F75" i="65" l="1"/>
  <c r="F65" i="65"/>
  <c r="J68" i="65"/>
  <c r="J84" i="65" s="1"/>
  <c r="O68" i="65"/>
  <c r="O84" i="65" s="1"/>
  <c r="E26" i="65"/>
  <c r="E25" i="65"/>
  <c r="E38" i="65"/>
  <c r="E34" i="65"/>
  <c r="E39" i="63"/>
  <c r="E30" i="63"/>
  <c r="E29" i="63"/>
  <c r="E28" i="63"/>
  <c r="E26" i="63"/>
  <c r="E25" i="63"/>
  <c r="E19" i="63"/>
  <c r="F19" i="63" s="1"/>
  <c r="E18" i="63"/>
  <c r="E17" i="63"/>
  <c r="E15" i="63"/>
  <c r="E14" i="63"/>
  <c r="E13" i="63"/>
  <c r="E12" i="63"/>
  <c r="F12" i="63" s="1"/>
  <c r="E11" i="63"/>
  <c r="F11" i="63" s="1"/>
  <c r="A3" i="63"/>
  <c r="D6" i="63"/>
  <c r="F68" i="65" l="1"/>
  <c r="F84" i="65" s="1"/>
  <c r="E16" i="63"/>
  <c r="F16" i="63" s="1"/>
  <c r="A7" i="63"/>
  <c r="A5" i="63" l="1"/>
  <c r="E27" i="63"/>
  <c r="E20" i="63" l="1"/>
  <c r="F20" i="63" s="1"/>
  <c r="E32" i="63" l="1"/>
  <c r="E37" i="65" l="1"/>
  <c r="E38" i="63"/>
  <c r="E37" i="63"/>
  <c r="E31" i="63"/>
  <c r="E33" i="63"/>
  <c r="E34" i="63"/>
  <c r="C21" i="15" l="1" a="1"/>
  <c r="C21" i="15" s="1"/>
  <c r="D45" i="43" l="1"/>
  <c r="D42" i="43"/>
  <c r="D39" i="43"/>
  <c r="D24" i="43"/>
  <c r="D21" i="43"/>
  <c r="D18" i="43"/>
  <c r="E23" i="63" l="1"/>
  <c r="E24" i="63"/>
  <c r="M16" i="39"/>
  <c r="N14" i="39" l="1"/>
  <c r="A20" i="39" l="1"/>
  <c r="A19" i="39" s="1"/>
  <c r="C18" i="39"/>
  <c r="A18" i="39"/>
  <c r="A32" i="39" s="1"/>
  <c r="A17" i="39"/>
  <c r="B29" i="39" s="1"/>
  <c r="D10" i="39" a="1"/>
  <c r="D12" i="39" a="1"/>
  <c r="D8" i="39" a="1"/>
  <c r="A4" i="39"/>
  <c r="D14" i="39" a="1"/>
  <c r="D13" i="39" a="1"/>
  <c r="D15" i="39" a="1"/>
  <c r="D7" i="39" a="1"/>
  <c r="D6" i="39" a="1"/>
  <c r="D11" i="39" a="1"/>
  <c r="D9" i="39" a="1"/>
  <c r="A31" i="39" l="1"/>
  <c r="D6" i="39"/>
  <c r="D7" i="39"/>
  <c r="D8" i="39"/>
  <c r="D9" i="39"/>
  <c r="D10" i="39"/>
  <c r="D11" i="39"/>
  <c r="D12" i="39"/>
  <c r="D13" i="39"/>
  <c r="D14" i="39"/>
  <c r="D15" i="39"/>
  <c r="A29" i="39"/>
  <c r="A30" i="39"/>
  <c r="M1" i="14" l="1"/>
  <c r="O1" i="14" l="1"/>
  <c r="N1" i="14"/>
  <c r="M2" i="14"/>
  <c r="D45" i="12"/>
  <c r="D42" i="12"/>
  <c r="D39" i="12"/>
  <c r="D24" i="12"/>
  <c r="D21" i="12"/>
  <c r="D18" i="12"/>
  <c r="O2" i="14" l="1"/>
  <c r="N2" i="14"/>
  <c r="D45" i="9" l="1"/>
  <c r="D42" i="9"/>
  <c r="D39" i="9"/>
  <c r="D24" i="9"/>
  <c r="D21" i="9"/>
  <c r="D18" i="9"/>
  <c r="D45" i="8" l="1"/>
  <c r="D42" i="8"/>
  <c r="D39" i="8"/>
  <c r="D24" i="8"/>
  <c r="D21" i="8"/>
  <c r="D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Obaidullah Shaikh-Business Partner</author>
  </authors>
  <commentList>
    <comment ref="D74" authorId="0" shapeId="0" xr:uid="{0FE3CE17-C8CF-47F3-9317-28E797790EB6}">
      <text>
        <r>
          <rPr>
            <sz val="9"/>
            <color indexed="81"/>
            <rFont val="Tahoma"/>
            <family val="2"/>
          </rPr>
          <t>#NEW_LOCALMEMBER|LocalMember:Var%</t>
        </r>
      </text>
    </comment>
    <comment ref="D77" authorId="0" shapeId="0" xr:uid="{5269659D-9AA0-4D30-B156-16567CDEE5FD}">
      <text>
        <r>
          <rPr>
            <sz val="9"/>
            <color indexed="81"/>
            <rFont val="Tahoma"/>
            <family val="2"/>
          </rPr>
          <t>#NEW_LOCALMEMBER|LocalMember:Division</t>
        </r>
      </text>
    </comment>
    <comment ref="D80" authorId="0" shapeId="0" xr:uid="{B94542FB-76B7-4D8C-8A06-38577183770C}">
      <text>
        <r>
          <rPr>
            <sz val="9"/>
            <color indexed="81"/>
            <rFont val="Tahoma"/>
            <family val="2"/>
          </rPr>
          <t>#NEW_MULTIPLECRITERIA||#NEW_MEMBER|Member:[OWNACCOUNT].[PARENTH1].[PCON]###NEW_MEMBER|Member:[OWNACCOUNT].[PARENTH1].[POWN]</t>
        </r>
      </text>
    </comment>
    <comment ref="D83" authorId="0" shapeId="0" xr:uid="{85133CBB-1244-4964-9641-906144A34E0B}">
      <text>
        <r>
          <rPr>
            <sz val="9"/>
            <color indexed="81"/>
            <rFont val="Tahoma"/>
            <family val="2"/>
          </rPr>
          <t>#NEW_MEMBER|Member:[FLOW].[PARENTH1].[999]</t>
        </r>
      </text>
    </comment>
    <comment ref="D86" authorId="0" shapeId="0" xr:uid="{B43CD739-71C4-462A-92FC-65AB14966195}">
      <text>
        <r>
          <rPr>
            <sz val="9"/>
            <color indexed="81"/>
            <rFont val="Tahoma"/>
            <family val="2"/>
          </rPr>
          <t>#NEW_LOCALMEMBER|LocalMember:Check</t>
        </r>
      </text>
    </comment>
    <comment ref="D89" authorId="0" shapeId="0" xr:uid="{9DBB02A3-585D-4597-BF11-2616354E7C7E}">
      <text>
        <r>
          <rPr>
            <sz val="9"/>
            <color indexed="81"/>
            <rFont val="Tahoma"/>
            <family val="2"/>
          </rPr>
          <t>#NEW_LOCALMEMBER|LocalMember:Provision</t>
        </r>
      </text>
    </comment>
    <comment ref="D92" authorId="0" shapeId="0" xr:uid="{EF08A90B-A37E-4E56-A03B-27426B8B81C9}">
      <text>
        <r>
          <rPr>
            <sz val="9"/>
            <color indexed="81"/>
            <rFont val="Tahoma"/>
            <family val="2"/>
          </rPr>
          <t>#NEW_MEMBER|Member:[FLOW].[PARENTH1].[620]</t>
        </r>
      </text>
    </comment>
    <comment ref="D116" authorId="0" shapeId="0" xr:uid="{6B716391-FA6F-41B6-BF1F-CD50D0AC7235}">
      <text>
        <r>
          <rPr>
            <sz val="9"/>
            <color indexed="81"/>
            <rFont val="Tahoma"/>
            <family val="2"/>
          </rPr>
          <t>#NEW_PROPERTY|Dimension:ENTITY|Hierarchy:|Condition:CALC|Operator:Equals|Value:Y|HighValue:ACCOUNT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Obaidullah Shaikh-Business Partner</author>
  </authors>
  <commentList>
    <comment ref="D95" authorId="0" shapeId="0" xr:uid="{D8B261E8-9A1B-46AC-A132-004304691C83}">
      <text>
        <r>
          <rPr>
            <sz val="9"/>
            <color indexed="81"/>
            <rFont val="Tahoma"/>
            <family val="2"/>
          </rPr>
          <t>#NEW_MULTIPLECRITERIA||#NEW_LOCALMEMBER|LocalMember:BUYER_PER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Rinkesh Shah-Business Partner</author>
    <author>Obaidullah Shaikh-Business Partner</author>
  </authors>
  <commentList>
    <comment ref="D95" authorId="0" shapeId="0" xr:uid="{C8C31035-02AE-46DC-9D7D-E27CD8A7E31B}">
      <text>
        <r>
          <rPr>
            <sz val="9"/>
            <color indexed="81"/>
            <rFont val="Tahoma"/>
            <family val="2"/>
          </rPr>
          <t>#NEW_LOCALMEMBER|LocalMember:Revenue</t>
        </r>
      </text>
    </comment>
    <comment ref="D98" authorId="1" shapeId="0" xr:uid="{37CF6C89-DF6D-41FE-896B-0DCDA85AE9B3}">
      <text>
        <r>
          <rPr>
            <sz val="9"/>
            <color indexed="81"/>
            <rFont val="Tahoma"/>
            <family val="2"/>
          </rPr>
          <t>#NEW_MULTIPLECRITERIA||#NEW_LOCALMEMBER|LocalMember:TP||#NEW_LOCALMEMBER|LocalMember:Entity</t>
        </r>
      </text>
    </comment>
    <comment ref="D101" authorId="1" shapeId="0" xr:uid="{A4E82178-4426-4387-8BF6-F372BDD8F1F7}">
      <text>
        <r>
          <rPr>
            <sz val="9"/>
            <color indexed="81"/>
            <rFont val="Tahoma"/>
            <family val="2"/>
          </rPr>
          <t>#NEW_MEMBER|Member:[DATASRC].[PARENTH1].[AD_MLC]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Obaidullah Shaikh-Business Partner</author>
  </authors>
  <commentList>
    <comment ref="D74" authorId="0" shapeId="0" xr:uid="{78C5682B-BED4-4AE6-A56B-C5A4D6730994}">
      <text>
        <r>
          <rPr>
            <sz val="9"/>
            <color indexed="81"/>
            <rFont val="Tahoma"/>
            <family val="2"/>
          </rPr>
          <t>#NEW_MULTIPLECRITERIA||#NEW_MEMBER|Member:[ACCOUNT].[PARENTH1].[1005000431]||#NEW_MEMBER|Member:[TPARTNER].[PARENTH1].[IC_TOTAL_THIRD]###NEW_MEMBER|Member:[TPARTNER].[PARENTH1].[THIRD]</t>
        </r>
      </text>
    </comment>
    <comment ref="D77" authorId="0" shapeId="0" xr:uid="{A08DDDA4-B49F-4C88-95CE-28AF3B63B811}">
      <text>
        <r>
          <rPr>
            <sz val="9"/>
            <color indexed="81"/>
            <rFont val="Tahoma"/>
            <family val="2"/>
          </rPr>
          <t>#NEW_MULTIPLECRITERIA||#NEW_MEMBER|Member:[ACCOUNT].[PARENTH1].[2020001900]||#NEW_MEMBER|Member:[TPARTNER].[PARENTH1].[IC_TOTAL_THIRD]###NEW_MEMBER|Member:[TPARTNER].[PARENTH1].[THIRD]</t>
        </r>
      </text>
    </comment>
    <comment ref="D80" authorId="0" shapeId="0" xr:uid="{DD0EEFC8-4C79-4580-B016-245EBC222419}">
      <text>
        <r>
          <rPr>
            <sz val="9"/>
            <color indexed="81"/>
            <rFont val="Tahoma"/>
            <family val="2"/>
          </rPr>
          <t>#NEW_LOCALMEMBER|LocalMember:LocalMember002</t>
        </r>
      </text>
    </comment>
    <comment ref="D83" authorId="0" shapeId="0" xr:uid="{31174E7D-0D6F-4020-8FD0-C9B3972A41D8}">
      <text>
        <r>
          <rPr>
            <sz val="9"/>
            <color indexed="81"/>
            <rFont val="Tahoma"/>
            <family val="2"/>
          </rPr>
          <t>#NEW_LOCALMEMBER|LocalMember:LocalMember003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Obaidullah Shaikh-Business Partner</author>
  </authors>
  <commentList>
    <comment ref="D74" authorId="0" shapeId="0" xr:uid="{9728BB46-91E5-45EC-9244-510ED95D207F}">
      <text>
        <r>
          <rPr>
            <sz val="9"/>
            <color indexed="81"/>
            <rFont val="Tahoma"/>
            <family val="2"/>
          </rPr>
          <t>#NEW_MULTIPLECRITERIA||#NEW_MEMBER|Member:[ACCOUNT].[PARENTH1].[1005000431]||#NEW_MEMBER|Member:[TPARTNER].[PARENTH1].[IC_TOTAL_THIRD]###NEW_MEMBER|Member:[TPARTNER].[PARENTH1].[THIRD]</t>
        </r>
      </text>
    </comment>
    <comment ref="D77" authorId="0" shapeId="0" xr:uid="{A3DA3AAD-14CD-4652-B333-C5BE7F0A5855}">
      <text>
        <r>
          <rPr>
            <sz val="9"/>
            <color indexed="81"/>
            <rFont val="Tahoma"/>
            <family val="2"/>
          </rPr>
          <t>#NEW_MULTIPLECRITERIA||#NEW_MEMBER|Member:[ACCOUNT].[PARENTH1].[2020001900]||#NEW_MEMBER|Member:[TPARTNER].[PARENTH1].[IC_TOTAL_THIRD]###NEW_MEMBER|Member:[TPARTNER].[PARENTH1].[THIRD]</t>
        </r>
      </text>
    </comment>
    <comment ref="D80" authorId="0" shapeId="0" xr:uid="{97B03681-F383-4480-A398-ED268BCC070E}">
      <text>
        <r>
          <rPr>
            <sz val="9"/>
            <color indexed="81"/>
            <rFont val="Tahoma"/>
            <family val="2"/>
          </rPr>
          <t>#NEW_LOCALMEMBER|LocalMember:LocalMember002</t>
        </r>
      </text>
    </comment>
    <comment ref="D83" authorId="0" shapeId="0" xr:uid="{7409ABE7-D629-4D2B-982B-D11802E926AA}">
      <text>
        <r>
          <rPr>
            <sz val="9"/>
            <color indexed="81"/>
            <rFont val="Tahoma"/>
            <family val="2"/>
          </rPr>
          <t>#NEW_LOCALMEMBER|LocalMember:LocalMember003</t>
        </r>
      </text>
    </comment>
    <comment ref="D86" authorId="0" shapeId="0" xr:uid="{45E2CE23-5A4C-45A2-8A73-7621A9E84964}">
      <text>
        <r>
          <rPr>
            <sz val="9"/>
            <color indexed="81"/>
            <rFont val="Tahoma"/>
            <family val="2"/>
          </rPr>
          <t>#NEW_LOCALMEMBER|LocalMember:Division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<sst xmlns="http://schemas.openxmlformats.org/spreadsheetml/2006/main" count="1127" uniqueCount="230">
  <si>
    <t>EPM Formatting Sheet</t>
  </si>
  <si>
    <t>Note: The format settings in lower sections overrides the ones in upper section if there are conflicts.</t>
  </si>
  <si>
    <t>Hierarchy Level Formatting</t>
  </si>
  <si>
    <t>Data</t>
  </si>
  <si>
    <t>Use</t>
  </si>
  <si>
    <t>Header</t>
  </si>
  <si>
    <t>Row</t>
  </si>
  <si>
    <t>Default Format</t>
  </si>
  <si>
    <t>All</t>
  </si>
  <si>
    <t>Label</t>
  </si>
  <si>
    <t>Base Level Format</t>
  </si>
  <si>
    <t>Formatting on Specific Level:</t>
  </si>
  <si>
    <t>Column</t>
  </si>
  <si>
    <t>Dimension Member/Property Formatting</t>
  </si>
  <si>
    <t>Custom Member Default Format</t>
  </si>
  <si>
    <t>Calculated Member Default Format</t>
  </si>
  <si>
    <t>Inputable Member Default Format</t>
  </si>
  <si>
    <t>Local Member Default Format</t>
  </si>
  <si>
    <t>Changed Member Default Format</t>
  </si>
  <si>
    <t>Formatting on Specific Member/Property:</t>
  </si>
  <si>
    <t>Row and Column Banding</t>
  </si>
  <si>
    <t>Odd Formatting</t>
  </si>
  <si>
    <t>Even Formatting</t>
  </si>
  <si>
    <t>Page Axis Formatting</t>
  </si>
  <si>
    <t>Formatting on Specific Dimension:</t>
  </si>
  <si>
    <t>Help</t>
  </si>
  <si>
    <t>Formatting and "Use" Column:</t>
  </si>
  <si>
    <t>Inner or Outer Dimension:</t>
  </si>
  <si>
    <t xml:space="preserve">In the "1000" and "Label" cells, define the format you want by using the standard Microsoft Office Excel cell formatting functions._x000D_
By default, all the format settings are applied and "ALL" is displayed in the "Use" column._x000D_
_x000D_
You can then specify which settings of the defined format you want to apply or define additional settings.To do so, double-click in a "Use" cell and define the format settings in the dialog box that opens, or directly enter the format settings in a "Use" cell, using a specific syntax, for example: (FontBold = Y) | (FontSize = 18)._x000D_
		</t>
  </si>
  <si>
    <t>Priority to Row or Column</t>
  </si>
  <si>
    <t>These options enable you to specify which one of the defined formats for rows or for columns will be applied first in case of conflicts. When you click the "Priority to Column" option, the "Column" section is displayed first in the formatting section and the "Row" section is displayed in second position in the formatting section and the precedence rules apply.</t>
  </si>
  <si>
    <t>If a row or column axis contains more than one dimension, you can specify which dimension you want the defined format to be applied to; "Inner dimension" being the last dimension, Outer dimension" being the first dimension in the axis.</t>
  </si>
  <si>
    <t>Version_1_1</t>
  </si>
  <si>
    <t>Entity</t>
  </si>
  <si>
    <t>Revenue</t>
  </si>
  <si>
    <t>TIME</t>
  </si>
  <si>
    <t>Account</t>
  </si>
  <si>
    <t>NG</t>
  </si>
  <si>
    <t>SME_SALES</t>
  </si>
  <si>
    <t>SME_COGS</t>
  </si>
  <si>
    <t>SMEPercent</t>
  </si>
  <si>
    <t>CATEGORY</t>
  </si>
  <si>
    <t>Seller Entity</t>
  </si>
  <si>
    <t>Buyer Entity</t>
  </si>
  <si>
    <t>Net Sales</t>
  </si>
  <si>
    <t>Cost of Goods Sold</t>
  </si>
  <si>
    <t>Selections</t>
  </si>
  <si>
    <t>Time</t>
  </si>
  <si>
    <t>Var%</t>
  </si>
  <si>
    <t>NumberFormat</t>
  </si>
  <si>
    <t>Division</t>
  </si>
  <si>
    <t>Font | HorizontalAlignment | VerticalAlignment</t>
  </si>
  <si>
    <t>Consolidation Percentage##Participation Percentage</t>
  </si>
  <si>
    <t>MODEL</t>
  </si>
  <si>
    <t>Description</t>
  </si>
  <si>
    <t>Flow Set</t>
  </si>
  <si>
    <t>TP Purchased-Other Goods</t>
  </si>
  <si>
    <t>TP Purchased-Other Services</t>
  </si>
  <si>
    <t>TP Purchased-Goods</t>
  </si>
  <si>
    <t>TP Purchased-Services</t>
  </si>
  <si>
    <t>TP Purchased-Related Party Goods</t>
  </si>
  <si>
    <t>TP Purchased-Related Party Services</t>
  </si>
  <si>
    <t>TP Purchased-Markdown Utilized</t>
  </si>
  <si>
    <t>TP Purchased-Brokerage &amp;Commission</t>
  </si>
  <si>
    <t>TP Purchased-Rental INC</t>
  </si>
  <si>
    <t>TP Purchased-Gross Premium Earned</t>
  </si>
  <si>
    <t>Selection</t>
  </si>
  <si>
    <t>CHECK EXPANSION AND SELECTION</t>
  </si>
  <si>
    <t>TPARTNER</t>
  </si>
  <si>
    <t>Expanded Account</t>
  </si>
  <si>
    <t>$L$31</t>
  </si>
  <si>
    <t>Report 1</t>
  </si>
  <si>
    <t>ACCOUNT</t>
  </si>
  <si>
    <t>C_SM="SMA"</t>
  </si>
  <si>
    <t>C_SM="SMS"</t>
  </si>
  <si>
    <t>FLOW</t>
  </si>
  <si>
    <t>C_SM="SME"</t>
  </si>
  <si>
    <t>Amount</t>
  </si>
  <si>
    <t>Category</t>
  </si>
  <si>
    <t>Currency</t>
  </si>
  <si>
    <t>BASMEMBERS</t>
  </si>
  <si>
    <t>SME Missing Margin %</t>
  </si>
  <si>
    <t>Dimension</t>
  </si>
  <si>
    <t>Value</t>
  </si>
  <si>
    <t xml:space="preserve">Restrictive Validations </t>
  </si>
  <si>
    <t>DESCRIPTION</t>
  </si>
  <si>
    <t>CHECK</t>
  </si>
  <si>
    <t>VALIDATION</t>
  </si>
  <si>
    <t>V11001</t>
  </si>
  <si>
    <t>Asset = Liabilities+Equity</t>
  </si>
  <si>
    <t>V11002</t>
  </si>
  <si>
    <t>Opening Balance Assets = Opening Balance Liabilities</t>
  </si>
  <si>
    <t>V11003</t>
  </si>
  <si>
    <t>Net income P&amp;L = Net Income BS</t>
  </si>
  <si>
    <t>V11004</t>
  </si>
  <si>
    <t>Balance Movements = End Balance</t>
  </si>
  <si>
    <t>V11005</t>
  </si>
  <si>
    <t>ERROR Movement Type Validation</t>
  </si>
  <si>
    <t>UPLOAD</t>
  </si>
  <si>
    <t>AD_MLC</t>
  </si>
  <si>
    <t>Buyer</t>
  </si>
  <si>
    <t>Seller</t>
  </si>
  <si>
    <t>BAS(SM_TOT)</t>
  </si>
  <si>
    <t>BAS(6701000100)</t>
  </si>
  <si>
    <t>Sales/Purchase</t>
  </si>
  <si>
    <t>Flow</t>
  </si>
  <si>
    <t>BUYER_PER</t>
  </si>
  <si>
    <t>Report objective</t>
  </si>
  <si>
    <t>User action</t>
  </si>
  <si>
    <t>Review and request the team to update missing buyer %</t>
  </si>
  <si>
    <t>Stock Margin %</t>
  </si>
  <si>
    <t>SME Buyer %</t>
  </si>
  <si>
    <t>Review and request the team to update missing stock margin % if needed</t>
  </si>
  <si>
    <t>Check</t>
  </si>
  <si>
    <r>
      <t xml:space="preserve">Shows only Missing Stock margin %  highlighted in </t>
    </r>
    <r>
      <rPr>
        <b/>
        <sz val="11"/>
        <color rgb="FFFF0000"/>
        <rFont val="Calibri"/>
        <family val="2"/>
        <scheme val="minor"/>
      </rPr>
      <t>Red</t>
    </r>
    <r>
      <rPr>
        <sz val="11"/>
        <color theme="1"/>
        <rFont val="Calibri"/>
        <family val="2"/>
        <scheme val="minor"/>
      </rPr>
      <t xml:space="preserve"> of sellers against corresponding buyers</t>
    </r>
  </si>
  <si>
    <t>TP||Entity</t>
  </si>
  <si>
    <r>
      <t>Buyer % by entity and trading partner and highlighted "</t>
    </r>
    <r>
      <rPr>
        <sz val="11"/>
        <color rgb="FFFF0000"/>
        <rFont val="Calibri"/>
        <family val="2"/>
        <scheme val="minor"/>
      </rPr>
      <t>Red</t>
    </r>
    <r>
      <rPr>
        <sz val="11"/>
        <color theme="1"/>
        <rFont val="Calibri"/>
        <family val="2"/>
        <scheme val="minor"/>
      </rPr>
      <t xml:space="preserve">" if % is missing </t>
    </r>
  </si>
  <si>
    <t>BASEMEMBERS</t>
  </si>
  <si>
    <t>ENTITY</t>
  </si>
  <si>
    <t xml:space="preserve"> </t>
  </si>
  <si>
    <t>Validation #</t>
  </si>
  <si>
    <t>FS ITEM</t>
  </si>
  <si>
    <t>V11006</t>
  </si>
  <si>
    <t>V11007</t>
  </si>
  <si>
    <t>Related Party Account Payable Balance with Trade Partner THIRD</t>
  </si>
  <si>
    <t>V11008</t>
  </si>
  <si>
    <t>Related Party Account Receivable Balance with Trade Partner THIRD</t>
  </si>
  <si>
    <t>V11009</t>
  </si>
  <si>
    <t>Dividend Income with Trade Partner  THIRD</t>
  </si>
  <si>
    <t>Negative Revenue</t>
  </si>
  <si>
    <t>Data validation  by entity like "Ast vs Liab", "P&amp;L Net Income vs BS Profit" etc</t>
  </si>
  <si>
    <r>
      <t xml:space="preserve">Review and request the team to fix if any validation highlighted as </t>
    </r>
    <r>
      <rPr>
        <b/>
        <sz val="11"/>
        <color rgb="FFFF0000"/>
        <rFont val="Calibri"/>
        <family val="2"/>
        <scheme val="minor"/>
      </rPr>
      <t>Red</t>
    </r>
  </si>
  <si>
    <t>Sum of Capex Transfer Movement(Flow-400)</t>
  </si>
  <si>
    <t>Investment in Subsidiary with Trade Partner THIRD</t>
  </si>
  <si>
    <t>Missing Seller Margin %</t>
  </si>
  <si>
    <t>Missing Buyer Allocation %</t>
  </si>
  <si>
    <t>Total Failed validation</t>
  </si>
  <si>
    <t>Accum. Dep. Movement (Balance Sheet) not equals Amortisation+Depreciation (P&amp;L)</t>
  </si>
  <si>
    <t>Provision Inventory Movement (BS) not equals Provision Inventory (P&amp;L)</t>
  </si>
  <si>
    <t>Provision Receivables Movement (BS) not equals Provision Receivables(P&amp;L)</t>
  </si>
  <si>
    <t>Addition in Reserves not equals Transfer to Reserves</t>
  </si>
  <si>
    <t>Movements for Provision in Investment (BS) not equals Provision created (P&amp;L)</t>
  </si>
  <si>
    <t>Exceptions/Validation Errors</t>
  </si>
  <si>
    <t>Intangible Assets &amp; Goodwill||Total Intercompany and Third##Third parties</t>
  </si>
  <si>
    <t>Dividend Income||Total Intercompany and Third##Third parties</t>
  </si>
  <si>
    <t>Heading</t>
  </si>
  <si>
    <t>V11006 - Sum of Capex Transfer Movement(Flow-400)</t>
  </si>
  <si>
    <t>V110010</t>
  </si>
  <si>
    <t>V110011</t>
  </si>
  <si>
    <t>V110012</t>
  </si>
  <si>
    <t>V110013</t>
  </si>
  <si>
    <t>V110014</t>
  </si>
  <si>
    <t>V110015</t>
  </si>
  <si>
    <t>V110016</t>
  </si>
  <si>
    <t>V110017</t>
  </si>
  <si>
    <t>V110018</t>
  </si>
  <si>
    <t>V110019</t>
  </si>
  <si>
    <t>V110020</t>
  </si>
  <si>
    <t>V110021</t>
  </si>
  <si>
    <t>V11006 - Missing Seller Margin %</t>
  </si>
  <si>
    <t>V11007 - Missing Buyer Allocation %</t>
  </si>
  <si>
    <t>Manual adjustments data load</t>
  </si>
  <si>
    <t>Closing Bal.</t>
  </si>
  <si>
    <t>&lt;- Change selection with double click</t>
  </si>
  <si>
    <t>Total Check</t>
  </si>
  <si>
    <t xml:space="preserve">ENTITY.Calc member flag Equals Y </t>
  </si>
  <si>
    <t>Provision</t>
  </si>
  <si>
    <t>Payable Reverse Balance</t>
  </si>
  <si>
    <t>Receivable Reverse Balance</t>
  </si>
  <si>
    <t>Unutilised Provision W/Back</t>
  </si>
  <si>
    <t>Capex Addition - Negative Movement</t>
  </si>
  <si>
    <t>Capex Disposal - Positive Movement</t>
  </si>
  <si>
    <t>BMAIN</t>
  </si>
  <si>
    <t>LocalMember002</t>
  </si>
  <si>
    <t>LocalMember003</t>
  </si>
  <si>
    <t>CORPORATE</t>
  </si>
  <si>
    <t>AUTOMOTIVE</t>
  </si>
  <si>
    <t>RETAIL</t>
  </si>
  <si>
    <t>CONTRACTING</t>
  </si>
  <si>
    <t>OTHER SERVICES</t>
  </si>
  <si>
    <t>REAL ESTATE</t>
  </si>
  <si>
    <t>HEALTHCARE</t>
  </si>
  <si>
    <t>SCHOOL</t>
  </si>
  <si>
    <t>SERVICES</t>
  </si>
  <si>
    <t>FIN_SERVICES</t>
  </si>
  <si>
    <t>1001000001</t>
  </si>
  <si>
    <t>999</t>
  </si>
  <si>
    <t>IC_TOTAL_THIRD</t>
  </si>
  <si>
    <t>100</t>
  </si>
  <si>
    <t>2001000001</t>
  </si>
  <si>
    <t/>
  </si>
  <si>
    <t>GCOA</t>
  </si>
  <si>
    <t>ERR</t>
  </si>
  <si>
    <t>LocalMember001</t>
  </si>
  <si>
    <t>1063006100</t>
  </si>
  <si>
    <t>TOT</t>
  </si>
  <si>
    <t>Missing Seller</t>
  </si>
  <si>
    <t>Missing Buyer</t>
  </si>
  <si>
    <t>1128011900</t>
  </si>
  <si>
    <t>RP Payable</t>
  </si>
  <si>
    <t>1127011900</t>
  </si>
  <si>
    <t>RP Receivable</t>
  </si>
  <si>
    <t>2011000351</t>
  </si>
  <si>
    <t>Accum Dep</t>
  </si>
  <si>
    <t>2050305000</t>
  </si>
  <si>
    <t>Prov Invent</t>
  </si>
  <si>
    <t>2050205000</t>
  </si>
  <si>
    <t>Prov Receiv</t>
  </si>
  <si>
    <t>1029202900</t>
  </si>
  <si>
    <t>Investment</t>
  </si>
  <si>
    <t>2050105000</t>
  </si>
  <si>
    <t>Provision Invest</t>
  </si>
  <si>
    <t>2009000911</t>
  </si>
  <si>
    <t>-ve Revenue</t>
  </si>
  <si>
    <t>Dividend with Third</t>
  </si>
  <si>
    <t>1005000421</t>
  </si>
  <si>
    <t>200</t>
  </si>
  <si>
    <t>Capex Addition</t>
  </si>
  <si>
    <t>300</t>
  </si>
  <si>
    <t>Capex Disposal</t>
  </si>
  <si>
    <t>1051004500</t>
  </si>
  <si>
    <t>Customer -ve Balance</t>
  </si>
  <si>
    <t>1086007700</t>
  </si>
  <si>
    <t>Vendor -ve Balance</t>
  </si>
  <si>
    <t>1107008900</t>
  </si>
  <si>
    <t>920</t>
  </si>
  <si>
    <t>Reserve</t>
  </si>
  <si>
    <t>V110022</t>
  </si>
  <si>
    <t>Finance Cost &amp; COE Cost/Recovery with Tranding Partner THIRD</t>
  </si>
  <si>
    <t>Finance/COE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</si>
</sst>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0.000_);_(* \(#,##0.000\);_(* &quot;-&quot;??_);_(@_)"/>
    <numFmt numFmtId="167" formatCode="0.0%"/>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24"/>
      <color rgb="FFFFA500"/>
      <name val="Arial"/>
      <family val="2"/>
    </font>
    <font>
      <b/>
      <sz val="10"/>
      <color theme="1"/>
      <name val="Arial"/>
      <family val="2"/>
    </font>
    <font>
      <b/>
      <sz val="16"/>
      <color rgb="FFFFFFFF"/>
      <name val="Arial"/>
      <family val="2"/>
    </font>
    <font>
      <b/>
      <sz val="13"/>
      <color theme="1"/>
      <name val="Arial"/>
      <family val="2"/>
    </font>
    <font>
      <sz val="10"/>
      <color theme="1"/>
      <name val="Arial"/>
      <family val="2"/>
    </font>
    <font>
      <b/>
      <sz val="11"/>
      <color theme="1"/>
      <name val="Calibri"/>
      <family val="2"/>
    </font>
    <font>
      <sz val="11"/>
      <color theme="1"/>
      <name val="Calibri"/>
      <family val="2"/>
    </font>
    <font>
      <sz val="11"/>
      <color rgb="FFFFFFFF"/>
      <name val="Arial"/>
      <family val="2"/>
    </font>
    <font>
      <sz val="8"/>
      <color rgb="FF000000"/>
      <name val="Segoe UI"/>
      <family val="2"/>
    </font>
    <font>
      <sz val="11"/>
      <color rgb="FF000000"/>
      <name val="Calibri"/>
      <family val="2"/>
    </font>
    <font>
      <b/>
      <sz val="11"/>
      <color theme="0"/>
      <name val="Calibri"/>
      <family val="2"/>
      <scheme val="minor"/>
    </font>
    <font>
      <sz val="11"/>
      <color theme="1"/>
      <name val="Calibri Light"/>
      <family val="2"/>
      <scheme val="major"/>
    </font>
    <font>
      <i/>
      <sz val="10"/>
      <color theme="1"/>
      <name val="Arial"/>
      <family val="2"/>
    </font>
    <font>
      <sz val="9"/>
      <color indexed="81"/>
      <name val="Tahoma"/>
      <family val="2"/>
    </font>
    <font>
      <b/>
      <sz val="16"/>
      <color theme="1"/>
      <name val="Calibri"/>
      <family val="2"/>
      <scheme val="minor"/>
    </font>
    <font>
      <sz val="11"/>
      <name val="Calibri"/>
      <family val="2"/>
      <scheme val="minor"/>
    </font>
    <font>
      <sz val="10"/>
      <name val="Arial"/>
      <family val="2"/>
    </font>
    <font>
      <u/>
      <sz val="11"/>
      <color theme="10"/>
      <name val="Calibri"/>
      <family val="2"/>
      <scheme val="minor"/>
    </font>
    <font>
      <b/>
      <u/>
      <sz val="12"/>
      <color rgb="FFFF0000"/>
      <name val="Calibri"/>
      <family val="2"/>
      <scheme val="minor"/>
    </font>
    <font>
      <b/>
      <sz val="11"/>
      <color rgb="FFFF0000"/>
      <name val="Calibri"/>
      <family val="2"/>
      <scheme val="minor"/>
    </font>
    <font>
      <sz val="11"/>
      <color rgb="FFFF0000"/>
      <name val="Calibri"/>
      <family val="2"/>
      <scheme val="minor"/>
    </font>
    <font>
      <b/>
      <sz val="11"/>
      <color theme="3" tint="-0.249977111117893"/>
      <name val="Calibri"/>
      <family val="2"/>
      <scheme val="minor"/>
    </font>
    <font>
      <sz val="11"/>
      <color rgb="FF006100"/>
      <name val="Calibri"/>
      <family val="2"/>
      <scheme val="minor"/>
    </font>
    <font>
      <b/>
      <sz val="14"/>
      <color theme="1"/>
      <name val="Calibri"/>
      <family val="2"/>
      <scheme val="minor"/>
    </font>
    <font>
      <sz val="11"/>
      <color theme="3" tint="-0.249977111117893"/>
      <name val="Calibri"/>
      <family val="2"/>
      <scheme val="minor"/>
    </font>
    <font>
      <sz val="11"/>
      <color theme="0"/>
      <name val="Calibri"/>
      <family val="2"/>
      <scheme val="minor"/>
    </font>
    <font>
      <sz val="11"/>
      <color theme="0" tint="-0.34998626667073579"/>
      <name val="Calibri"/>
      <family val="2"/>
      <scheme val="minor"/>
    </font>
    <font>
      <b/>
      <sz val="12"/>
      <color theme="1"/>
      <name val="Calibri"/>
      <family val="2"/>
      <scheme val="minor"/>
    </font>
    <font>
      <b/>
      <sz val="12"/>
      <name val="Calibri"/>
      <family val="2"/>
      <scheme val="minor"/>
    </font>
  </fonts>
  <fills count="22">
    <fill>
      <patternFill patternType="none"/>
    </fill>
    <fill>
      <patternFill patternType="gray125"/>
    </fill>
    <fill>
      <patternFill patternType="solid">
        <fgColor rgb="FF404040"/>
        <bgColor indexed="64"/>
      </patternFill>
    </fill>
    <fill>
      <patternFill patternType="solid">
        <fgColor rgb="FFD3D3D3"/>
        <bgColor indexed="64"/>
      </patternFill>
    </fill>
    <fill>
      <patternFill patternType="solid">
        <fgColor rgb="FFF2F2F2"/>
        <bgColor indexed="64"/>
      </patternFill>
    </fill>
    <fill>
      <patternFill patternType="solid">
        <fgColor rgb="FF80808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indexed="9"/>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FFAF"/>
        <bgColor indexed="64"/>
      </patternFill>
    </fill>
    <fill>
      <patternFill patternType="solid">
        <fgColor rgb="FFC6EFCE"/>
      </patternFill>
    </fill>
    <fill>
      <patternFill patternType="solid">
        <fgColor rgb="FFFFB3B3"/>
        <bgColor indexed="64"/>
      </patternFill>
    </fill>
    <fill>
      <patternFill patternType="solid">
        <fgColor theme="7" tint="0.39997558519241921"/>
        <bgColor indexed="64"/>
      </patternFill>
    </fill>
    <fill>
      <patternFill patternType="solid">
        <fgColor rgb="FFFF7979"/>
        <bgColor indexed="64"/>
      </patternFill>
    </fill>
    <fill>
      <patternFill patternType="solid">
        <fgColor theme="9" tint="0.79998168889431442"/>
        <bgColor indexed="64"/>
      </patternFill>
    </fill>
    <fill>
      <patternFill patternType="solid">
        <fgColor theme="0"/>
        <bgColor indexed="64"/>
      </patternFill>
    </fill>
    <fill>
      <patternFill patternType="solid">
        <fgColor rgb="FFFFFFAB"/>
        <bgColor indexed="64"/>
      </patternFill>
    </fill>
  </fills>
  <borders count="4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4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2" fillId="0" borderId="0" applyNumberFormat="0" applyFill="0" applyBorder="0" applyAlignment="0" applyProtection="0"/>
    <xf numFmtId="0" fontId="27" fillId="15" borderId="0" applyNumberFormat="0" applyBorder="0" applyAlignment="0" applyProtection="0"/>
  </cellStyleXfs>
  <cellXfs count="154">
    <xf numFmtId="0" fontId="0" fillId="0" borderId="0" xfId="0"/>
    <xf numFmtId="0" fontId="0" fillId="0" borderId="0" xfId="0" quotePrefix="1"/>
    <xf numFmtId="165" fontId="0" fillId="0" borderId="0" xfId="1" applyNumberFormat="1" applyFont="1"/>
    <xf numFmtId="0" fontId="3" fillId="0" borderId="0" xfId="0" applyFont="1" applyAlignment="1" applyProtection="1">
      <alignment horizontal="left" indent="10"/>
      <protection locked="0"/>
    </xf>
    <xf numFmtId="0" fontId="3" fillId="0" borderId="0" xfId="0" applyFont="1"/>
    <xf numFmtId="0" fontId="3" fillId="0" borderId="0" xfId="0" applyFont="1" applyAlignment="1">
      <alignment horizontal="center"/>
    </xf>
    <xf numFmtId="0" fontId="6" fillId="0" borderId="0" xfId="0" applyFont="1" applyAlignment="1">
      <alignment horizontal="left"/>
    </xf>
    <xf numFmtId="0" fontId="4" fillId="3" borderId="4" xfId="0" applyFont="1" applyFill="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 xfId="0" applyFont="1" applyBorder="1" applyAlignment="1">
      <alignment horizontal="center"/>
    </xf>
    <xf numFmtId="0" fontId="3" fillId="1" borderId="1"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pplyProtection="1">
      <alignment horizontal="left" vertical="center"/>
      <protection locked="0"/>
    </xf>
    <xf numFmtId="0" fontId="3" fillId="0" borderId="8" xfId="0" applyFont="1" applyBorder="1" applyAlignment="1">
      <alignment horizontal="center"/>
    </xf>
    <xf numFmtId="0" fontId="3" fillId="0" borderId="13" xfId="0" applyFont="1" applyBorder="1" applyAlignment="1">
      <alignment horizontal="center"/>
    </xf>
    <xf numFmtId="0" fontId="3" fillId="0" borderId="20" xfId="0" applyFont="1" applyBorder="1" applyAlignment="1">
      <alignment horizontal="center"/>
    </xf>
    <xf numFmtId="0" fontId="4" fillId="3" borderId="22" xfId="0" applyFont="1" applyFill="1" applyBorder="1" applyAlignment="1">
      <alignment horizontal="center" vertical="center"/>
    </xf>
    <xf numFmtId="0" fontId="3" fillId="1" borderId="0" xfId="0" applyFont="1" applyFill="1" applyAlignment="1">
      <alignment horizontal="center"/>
    </xf>
    <xf numFmtId="0" fontId="6" fillId="0" borderId="0" xfId="0" applyFont="1" applyAlignment="1">
      <alignment horizontal="left" vertical="center"/>
    </xf>
    <xf numFmtId="0" fontId="3" fillId="0" borderId="0" xfId="0" applyFont="1" applyAlignment="1" applyProtection="1">
      <alignment horizontal="right" vertical="center"/>
      <protection locked="0"/>
    </xf>
    <xf numFmtId="0" fontId="3" fillId="0" borderId="0" xfId="0" applyFont="1" applyAlignment="1" applyProtection="1">
      <alignment horizontal="left" vertical="center"/>
      <protection locked="0"/>
    </xf>
    <xf numFmtId="0" fontId="3" fillId="0" borderId="20" xfId="0" applyFont="1" applyBorder="1" applyAlignment="1" applyProtection="1">
      <alignment horizontal="left" vertical="center"/>
      <protection locked="0"/>
    </xf>
    <xf numFmtId="0" fontId="3" fillId="0" borderId="23" xfId="0" applyFont="1" applyBorder="1" applyAlignment="1">
      <alignment horizontal="center"/>
    </xf>
    <xf numFmtId="0" fontId="9" fillId="0" borderId="0" xfId="0" applyFont="1" applyAlignment="1">
      <alignment horizontal="left" vertical="center" indent="1"/>
    </xf>
    <xf numFmtId="0" fontId="9" fillId="0" borderId="0" xfId="0" applyFont="1" applyAlignment="1">
      <alignment horizontal="left" vertical="center" indent="2"/>
    </xf>
    <xf numFmtId="0" fontId="9" fillId="0" borderId="0" xfId="0" applyFont="1" applyAlignment="1">
      <alignment horizontal="left" vertical="center" indent="3"/>
    </xf>
    <xf numFmtId="0" fontId="3" fillId="0" borderId="25" xfId="0" applyFont="1" applyBorder="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0" borderId="30" xfId="0" applyFont="1" applyBorder="1" applyAlignment="1">
      <alignment horizontal="center"/>
    </xf>
    <xf numFmtId="0" fontId="3" fillId="0" borderId="33" xfId="0" applyFont="1" applyBorder="1" applyAlignment="1">
      <alignment horizontal="center"/>
    </xf>
    <xf numFmtId="0" fontId="3" fillId="1" borderId="26" xfId="0" applyFont="1" applyFill="1" applyBorder="1" applyAlignment="1">
      <alignment horizontal="center"/>
    </xf>
    <xf numFmtId="0" fontId="3" fillId="0" borderId="9" xfId="0" applyFont="1" applyBorder="1" applyAlignment="1">
      <alignment horizontal="center"/>
    </xf>
    <xf numFmtId="0" fontId="7" fillId="5" borderId="4" xfId="0" applyFont="1" applyFill="1" applyBorder="1" applyAlignment="1">
      <alignment horizontal="center" vertical="center"/>
    </xf>
    <xf numFmtId="0" fontId="10" fillId="0" borderId="12" xfId="0" applyFont="1" applyBorder="1" applyAlignment="1">
      <alignment horizontal="left" vertical="center"/>
    </xf>
    <xf numFmtId="0" fontId="11" fillId="0" borderId="13" xfId="0" applyFont="1" applyBorder="1"/>
    <xf numFmtId="0" fontId="10" fillId="0" borderId="13" xfId="0" applyFont="1" applyBorder="1" applyAlignment="1">
      <alignment horizontal="left" vertical="center"/>
    </xf>
    <xf numFmtId="0" fontId="10" fillId="0" borderId="13" xfId="0" applyFont="1" applyBorder="1" applyAlignment="1" applyProtection="1">
      <alignment horizontal="left" vertical="center"/>
      <protection locked="0"/>
    </xf>
    <xf numFmtId="0" fontId="11" fillId="0" borderId="9" xfId="0" applyFont="1" applyBorder="1"/>
    <xf numFmtId="0" fontId="12" fillId="0" borderId="0" xfId="0" applyFont="1" applyAlignment="1">
      <alignment horizontal="center"/>
    </xf>
    <xf numFmtId="165" fontId="11" fillId="0" borderId="36" xfId="1" applyNumberFormat="1" applyFont="1" applyFill="1" applyBorder="1" applyAlignment="1" applyProtection="1">
      <alignment horizontal="right" vertical="center"/>
      <protection locked="0"/>
    </xf>
    <xf numFmtId="0" fontId="2" fillId="0" borderId="36" xfId="0" applyFont="1" applyBorder="1" applyAlignment="1" applyProtection="1">
      <alignment horizontal="left" vertical="center"/>
      <protection locked="0"/>
    </xf>
    <xf numFmtId="0" fontId="2" fillId="6" borderId="36" xfId="0" applyFont="1" applyFill="1" applyBorder="1" applyAlignment="1" applyProtection="1">
      <alignment horizontal="left" vertical="center" wrapText="1"/>
      <protection locked="0"/>
    </xf>
    <xf numFmtId="165" fontId="16" fillId="0" borderId="36" xfId="1" applyNumberFormat="1" applyFont="1" applyFill="1" applyBorder="1" applyAlignment="1" applyProtection="1">
      <alignment horizontal="right" vertical="center"/>
      <protection locked="0"/>
    </xf>
    <xf numFmtId="0" fontId="17" fillId="0" borderId="0" xfId="0" quotePrefix="1" applyFont="1" applyAlignment="1">
      <alignment horizontal="left" vertical="center"/>
    </xf>
    <xf numFmtId="166" fontId="3" fillId="0" borderId="8" xfId="1" applyNumberFormat="1" applyFont="1" applyBorder="1" applyAlignment="1" applyProtection="1">
      <alignment horizontal="left" vertical="center"/>
      <protection locked="0"/>
    </xf>
    <xf numFmtId="0" fontId="6" fillId="0" borderId="10" xfId="0" applyFont="1" applyBorder="1" applyAlignment="1">
      <alignment horizontal="left" vertical="center"/>
    </xf>
    <xf numFmtId="0" fontId="0" fillId="0" borderId="0" xfId="0" applyAlignment="1">
      <alignment horizontal="left"/>
    </xf>
    <xf numFmtId="9" fontId="0" fillId="0" borderId="0" xfId="2" applyFont="1"/>
    <xf numFmtId="0" fontId="19" fillId="0" borderId="0" xfId="0" applyFont="1"/>
    <xf numFmtId="165" fontId="16" fillId="0" borderId="36" xfId="1" applyNumberFormat="1" applyFont="1" applyFill="1" applyBorder="1" applyAlignment="1" applyProtection="1">
      <alignment horizontal="left" vertical="center"/>
      <protection locked="0"/>
    </xf>
    <xf numFmtId="2" fontId="0" fillId="0" borderId="0" xfId="2" applyNumberFormat="1" applyFont="1"/>
    <xf numFmtId="0" fontId="0" fillId="0" borderId="36" xfId="0" applyBorder="1"/>
    <xf numFmtId="0" fontId="2" fillId="8" borderId="36" xfId="0" applyFont="1" applyFill="1" applyBorder="1"/>
    <xf numFmtId="9" fontId="3" fillId="0" borderId="0" xfId="2" applyFont="1" applyFill="1" applyBorder="1" applyAlignment="1" applyProtection="1">
      <alignment horizontal="right" vertical="center"/>
      <protection locked="0"/>
    </xf>
    <xf numFmtId="0" fontId="0" fillId="11" borderId="0" xfId="0" applyFill="1"/>
    <xf numFmtId="0" fontId="4" fillId="0" borderId="0" xfId="0" applyFont="1" applyAlignment="1" applyProtection="1">
      <alignment horizontal="left" vertical="center"/>
      <protection locked="0"/>
    </xf>
    <xf numFmtId="10" fontId="3" fillId="0" borderId="0" xfId="2" applyNumberFormat="1" applyFont="1" applyFill="1" applyBorder="1" applyAlignment="1" applyProtection="1">
      <alignment horizontal="right" vertical="center"/>
      <protection locked="0"/>
    </xf>
    <xf numFmtId="0" fontId="0" fillId="0" borderId="4" xfId="0" applyBorder="1"/>
    <xf numFmtId="10" fontId="0" fillId="0" borderId="0" xfId="0" applyNumberFormat="1"/>
    <xf numFmtId="0" fontId="2" fillId="11" borderId="0" xfId="0" applyFont="1" applyFill="1"/>
    <xf numFmtId="0" fontId="0" fillId="0" borderId="0" xfId="0" applyProtection="1">
      <protection locked="0"/>
    </xf>
    <xf numFmtId="0" fontId="2" fillId="11" borderId="4" xfId="0" applyFont="1" applyFill="1" applyBorder="1"/>
    <xf numFmtId="0" fontId="2" fillId="0" borderId="4" xfId="0" applyFont="1" applyBorder="1" applyAlignment="1">
      <alignment vertical="center"/>
    </xf>
    <xf numFmtId="0" fontId="0" fillId="11" borderId="9" xfId="0" applyFill="1" applyBorder="1" applyAlignment="1">
      <alignment horizontal="right"/>
    </xf>
    <xf numFmtId="0" fontId="0" fillId="11" borderId="4" xfId="0" applyFill="1" applyBorder="1"/>
    <xf numFmtId="0" fontId="0" fillId="11" borderId="0" xfId="0" applyFill="1" applyAlignment="1">
      <alignment horizontal="left"/>
    </xf>
    <xf numFmtId="0" fontId="2" fillId="10" borderId="4" xfId="0" applyFont="1" applyFill="1" applyBorder="1" applyAlignment="1">
      <alignment horizontal="center"/>
    </xf>
    <xf numFmtId="10" fontId="2" fillId="10" borderId="4" xfId="0" applyNumberFormat="1" applyFont="1" applyFill="1" applyBorder="1" applyAlignment="1">
      <alignment horizontal="center"/>
    </xf>
    <xf numFmtId="0" fontId="15" fillId="7" borderId="4" xfId="0" applyFont="1" applyFill="1" applyBorder="1"/>
    <xf numFmtId="0" fontId="2" fillId="12" borderId="4" xfId="0" applyFont="1" applyFill="1" applyBorder="1"/>
    <xf numFmtId="0" fontId="0" fillId="13" borderId="4" xfId="0" applyFill="1" applyBorder="1" applyAlignment="1">
      <alignment horizontal="left"/>
    </xf>
    <xf numFmtId="0" fontId="23" fillId="0" borderId="0" xfId="0" applyFont="1"/>
    <xf numFmtId="164" fontId="0" fillId="0" borderId="4" xfId="0" applyNumberFormat="1" applyBorder="1"/>
    <xf numFmtId="167" fontId="16" fillId="0" borderId="36" xfId="2" applyNumberFormat="1" applyFont="1" applyFill="1" applyBorder="1" applyAlignment="1" applyProtection="1">
      <alignment horizontal="right" vertical="center"/>
      <protection locked="0"/>
    </xf>
    <xf numFmtId="165" fontId="0" fillId="0" borderId="0" xfId="0" applyNumberFormat="1"/>
    <xf numFmtId="164" fontId="16" fillId="0" borderId="36" xfId="1" applyFont="1" applyFill="1" applyBorder="1" applyAlignment="1" applyProtection="1">
      <alignment horizontal="right" vertical="center"/>
      <protection locked="0"/>
    </xf>
    <xf numFmtId="164" fontId="1" fillId="0" borderId="36" xfId="1" applyBorder="1" applyAlignment="1" applyProtection="1">
      <alignment horizontal="right" vertical="center"/>
      <protection locked="0"/>
    </xf>
    <xf numFmtId="0" fontId="0" fillId="0" borderId="4" xfId="0" applyBorder="1" applyAlignment="1" applyProtection="1">
      <alignment horizontal="left" vertical="center"/>
      <protection locked="0"/>
    </xf>
    <xf numFmtId="164" fontId="0" fillId="0" borderId="0" xfId="1" applyFont="1"/>
    <xf numFmtId="49" fontId="26" fillId="6" borderId="12" xfId="0" applyNumberFormat="1" applyFont="1" applyFill="1" applyBorder="1" applyAlignment="1">
      <alignment horizontal="center" vertical="center" wrapText="1"/>
    </xf>
    <xf numFmtId="0" fontId="28" fillId="0" borderId="0" xfId="0" applyFont="1"/>
    <xf numFmtId="0" fontId="20" fillId="0" borderId="4" xfId="41" applyFont="1" applyFill="1" applyBorder="1"/>
    <xf numFmtId="165" fontId="0" fillId="0" borderId="4" xfId="1" applyNumberFormat="1" applyFont="1" applyBorder="1" applyProtection="1">
      <protection locked="0"/>
    </xf>
    <xf numFmtId="49" fontId="29" fillId="6" borderId="12" xfId="0" applyNumberFormat="1" applyFont="1" applyFill="1" applyBorder="1" applyAlignment="1" applyProtection="1">
      <alignment horizontal="center" vertical="center" wrapText="1"/>
      <protection locked="0"/>
    </xf>
    <xf numFmtId="165" fontId="0" fillId="16" borderId="0" xfId="1" applyNumberFormat="1" applyFont="1" applyFill="1" applyBorder="1" applyProtection="1">
      <protection locked="0"/>
    </xf>
    <xf numFmtId="0" fontId="22" fillId="0" borderId="4" xfId="40" applyBorder="1"/>
    <xf numFmtId="165" fontId="0" fillId="0" borderId="0" xfId="1" applyNumberFormat="1" applyFont="1" applyFill="1"/>
    <xf numFmtId="0" fontId="20" fillId="17" borderId="0" xfId="41" applyFont="1" applyFill="1" applyBorder="1"/>
    <xf numFmtId="0" fontId="30" fillId="0" borderId="0" xfId="0" applyFont="1"/>
    <xf numFmtId="0" fontId="20" fillId="0" borderId="4" xfId="0" applyFont="1" applyBorder="1"/>
    <xf numFmtId="0" fontId="20" fillId="0" borderId="0" xfId="0" applyFont="1"/>
    <xf numFmtId="0" fontId="31" fillId="0" borderId="0" xfId="0" applyFont="1"/>
    <xf numFmtId="0" fontId="2" fillId="0" borderId="0" xfId="0" applyFont="1"/>
    <xf numFmtId="0" fontId="20" fillId="0" borderId="4" xfId="0" applyFont="1" applyBorder="1" applyAlignment="1">
      <alignment horizontal="center"/>
    </xf>
    <xf numFmtId="165" fontId="11" fillId="19" borderId="36" xfId="1" applyNumberFormat="1" applyFont="1" applyFill="1" applyBorder="1" applyAlignment="1" applyProtection="1">
      <alignment horizontal="right" vertical="center"/>
      <protection locked="0"/>
    </xf>
    <xf numFmtId="0" fontId="32" fillId="20" borderId="36" xfId="0" applyFont="1" applyFill="1" applyBorder="1" applyAlignment="1" applyProtection="1">
      <alignment horizontal="center" vertical="top" wrapText="1"/>
      <protection locked="0"/>
    </xf>
    <xf numFmtId="0" fontId="2" fillId="21" borderId="36" xfId="0" applyFont="1" applyFill="1" applyBorder="1" applyAlignment="1" applyProtection="1">
      <alignment horizontal="left" vertical="center" wrapText="1"/>
      <protection locked="0"/>
    </xf>
    <xf numFmtId="0" fontId="33" fillId="0" borderId="0" xfId="0" applyFont="1"/>
    <xf numFmtId="0" fontId="2" fillId="8" borderId="36" xfId="0" applyFont="1" applyFill="1" applyBorder="1" applyAlignment="1" applyProtection="1">
      <alignment horizontal="left" vertical="center" wrapText="1"/>
      <protection locked="0"/>
    </xf>
    <xf numFmtId="165" fontId="26" fillId="6" borderId="12" xfId="1" applyNumberFormat="1" applyFont="1" applyFill="1" applyBorder="1" applyAlignment="1">
      <alignment horizontal="center" vertical="center" wrapText="1"/>
    </xf>
    <xf numFmtId="165" fontId="26" fillId="6" borderId="12" xfId="1" applyNumberFormat="1" applyFont="1" applyFill="1" applyBorder="1" applyAlignment="1" applyProtection="1">
      <alignment horizontal="center" vertical="center" wrapText="1"/>
      <protection locked="0"/>
    </xf>
    <xf numFmtId="165" fontId="0" fillId="0" borderId="4" xfId="1" applyNumberFormat="1" applyFont="1" applyBorder="1"/>
    <xf numFmtId="165" fontId="20" fillId="0" borderId="4" xfId="1" applyNumberFormat="1" applyFont="1" applyBorder="1"/>
    <xf numFmtId="165" fontId="0" fillId="0" borderId="4" xfId="1" applyNumberFormat="1" applyFont="1" applyBorder="1" applyAlignment="1" applyProtection="1">
      <alignment horizontal="left" vertical="center"/>
      <protection locked="0"/>
    </xf>
    <xf numFmtId="165" fontId="1" fillId="0" borderId="36" xfId="1" applyNumberFormat="1" applyBorder="1" applyAlignment="1" applyProtection="1">
      <alignment horizontal="right" vertical="center"/>
      <protection locked="0"/>
    </xf>
    <xf numFmtId="165" fontId="0" fillId="0" borderId="36" xfId="1" applyNumberFormat="1" applyFont="1" applyFill="1" applyBorder="1"/>
    <xf numFmtId="165" fontId="0" fillId="0" borderId="0" xfId="1" applyNumberFormat="1" applyFont="1" applyBorder="1"/>
    <xf numFmtId="165" fontId="33" fillId="0" borderId="0" xfId="0" applyNumberFormat="1" applyFont="1"/>
    <xf numFmtId="0" fontId="11" fillId="0" borderId="13" xfId="0" applyFont="1" applyBorder="1" applyAlignment="1" applyProtection="1">
      <alignment horizontal="left" vertical="top" wrapText="1"/>
      <protection locked="0"/>
    </xf>
    <xf numFmtId="0" fontId="3" fillId="0" borderId="12" xfId="0" applyFont="1" applyBorder="1" applyAlignment="1">
      <alignment horizontal="center"/>
    </xf>
    <xf numFmtId="0" fontId="3" fillId="0" borderId="13" xfId="0" applyFont="1" applyBorder="1" applyAlignment="1">
      <alignment horizontal="center"/>
    </xf>
    <xf numFmtId="0" fontId="3" fillId="0" borderId="9" xfId="0" applyFont="1" applyBorder="1" applyAlignment="1">
      <alignment horizontal="center"/>
    </xf>
    <xf numFmtId="0" fontId="4" fillId="3"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6"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28" xfId="0" applyFont="1" applyFill="1" applyBorder="1" applyAlignment="1">
      <alignment horizontal="center" vertical="center"/>
    </xf>
    <xf numFmtId="0" fontId="7" fillId="2" borderId="30" xfId="0" applyFont="1" applyFill="1" applyBorder="1" applyAlignment="1">
      <alignment horizontal="center" vertical="center"/>
    </xf>
    <xf numFmtId="0" fontId="3" fillId="0" borderId="32" xfId="0" applyFont="1" applyBorder="1" applyAlignment="1">
      <alignment horizontal="center"/>
    </xf>
    <xf numFmtId="0" fontId="3" fillId="0" borderId="1" xfId="0" applyFont="1" applyBorder="1" applyAlignment="1">
      <alignment horizontal="center"/>
    </xf>
    <xf numFmtId="0" fontId="3" fillId="0" borderId="23" xfId="0" applyFont="1" applyBorder="1" applyAlignment="1">
      <alignment horizontal="center"/>
    </xf>
    <xf numFmtId="0" fontId="8" fillId="4" borderId="19" xfId="0" applyFont="1" applyFill="1" applyBorder="1" applyAlignment="1" applyProtection="1">
      <alignment horizontal="center" vertical="center"/>
      <protection hidden="1"/>
    </xf>
    <xf numFmtId="0" fontId="8" fillId="4" borderId="21" xfId="0" applyFont="1" applyFill="1" applyBorder="1" applyAlignment="1" applyProtection="1">
      <alignment horizontal="center" vertical="center"/>
      <protection hidden="1"/>
    </xf>
    <xf numFmtId="0" fontId="8" fillId="4" borderId="35" xfId="0" applyFont="1" applyFill="1" applyBorder="1" applyAlignment="1" applyProtection="1">
      <alignment horizontal="center" vertical="center"/>
      <protection hidden="1"/>
    </xf>
    <xf numFmtId="0" fontId="3" fillId="4" borderId="13" xfId="0" applyFont="1" applyFill="1" applyBorder="1" applyAlignment="1">
      <alignment horizontal="center"/>
    </xf>
    <xf numFmtId="0" fontId="3" fillId="4" borderId="9" xfId="0" applyFont="1" applyFill="1" applyBorder="1" applyAlignment="1">
      <alignment horizontal="center"/>
    </xf>
    <xf numFmtId="0" fontId="3" fillId="0" borderId="0" xfId="0" applyFont="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25" xfId="0" applyFont="1" applyBorder="1" applyAlignment="1">
      <alignment horizontal="center"/>
    </xf>
    <xf numFmtId="0" fontId="8" fillId="4" borderId="24" xfId="0" applyFont="1" applyFill="1" applyBorder="1" applyAlignment="1" applyProtection="1">
      <alignment horizontal="center" vertical="center"/>
      <protection hidden="1"/>
    </xf>
    <xf numFmtId="0" fontId="7" fillId="2" borderId="3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7" xfId="0" applyFont="1" applyFill="1" applyBorder="1" applyAlignment="1">
      <alignment horizontal="center" vertical="center"/>
    </xf>
    <xf numFmtId="0" fontId="8" fillId="4" borderId="29" xfId="0" applyFont="1" applyFill="1" applyBorder="1" applyAlignment="1" applyProtection="1">
      <alignment horizontal="center" vertical="center"/>
      <protection hidden="1"/>
    </xf>
    <xf numFmtId="0" fontId="6" fillId="0" borderId="0" xfId="0" applyFont="1" applyAlignment="1">
      <alignment horizontal="left" vertical="center"/>
    </xf>
    <xf numFmtId="0" fontId="5" fillId="0" borderId="0" xfId="0" applyFont="1" applyAlignment="1" applyProtection="1">
      <alignment horizontal="center" vertical="center"/>
      <protection locked="0"/>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3" fillId="0" borderId="17" xfId="0" applyFont="1" applyBorder="1" applyAlignment="1" applyProtection="1">
      <alignment horizontal="center"/>
      <protection locked="0"/>
    </xf>
    <xf numFmtId="0" fontId="3" fillId="0" borderId="3" xfId="0" applyFont="1" applyBorder="1" applyAlignment="1" applyProtection="1">
      <alignment horizontal="center"/>
      <protection locked="0"/>
    </xf>
    <xf numFmtId="0" fontId="3" fillId="0" borderId="18" xfId="0" applyFont="1" applyBorder="1" applyAlignment="1" applyProtection="1">
      <alignment horizontal="center"/>
      <protection locked="0"/>
    </xf>
    <xf numFmtId="0" fontId="2" fillId="9" borderId="36" xfId="0" applyFont="1" applyFill="1" applyBorder="1" applyAlignment="1">
      <alignment horizontal="center"/>
    </xf>
    <xf numFmtId="0" fontId="0" fillId="14" borderId="36" xfId="0" applyFill="1" applyBorder="1" applyAlignment="1">
      <alignment horizontal="left"/>
    </xf>
    <xf numFmtId="165" fontId="32" fillId="18" borderId="0" xfId="1" applyNumberFormat="1" applyFont="1" applyFill="1" applyAlignment="1">
      <alignment horizontal="left" vertical="top"/>
    </xf>
    <xf numFmtId="165" fontId="32" fillId="18" borderId="0" xfId="1" applyNumberFormat="1" applyFont="1" applyFill="1" applyAlignment="1">
      <alignment horizontal="left"/>
    </xf>
    <xf numFmtId="0" fontId="0" fillId="14" borderId="40" xfId="0" applyFill="1" applyBorder="1" applyAlignment="1">
      <alignment horizontal="left"/>
    </xf>
    <xf numFmtId="0" fontId="0" fillId="14" borderId="0" xfId="0" applyFill="1" applyAlignment="1">
      <alignment horizontal="left"/>
    </xf>
    <xf numFmtId="0" fontId="0" fillId="14" borderId="37" xfId="0" applyFill="1" applyBorder="1" applyAlignment="1">
      <alignment horizontal="left"/>
    </xf>
    <xf numFmtId="0" fontId="0" fillId="14" borderId="38" xfId="0" applyFill="1" applyBorder="1" applyAlignment="1">
      <alignment horizontal="left"/>
    </xf>
    <xf numFmtId="0" fontId="0" fillId="14" borderId="39" xfId="0" applyFill="1" applyBorder="1" applyAlignment="1">
      <alignment horizontal="left"/>
    </xf>
  </cellXfs>
  <cellStyles count="42">
    <cellStyle name="Comma" xfId="1" builtinId="3"/>
    <cellStyle name="Good" xfId="41" builtinId="26"/>
    <cellStyle name="Hyperlink" xfId="40" builtinId="8"/>
    <cellStyle name="Normal" xfId="0" builtinId="0"/>
    <cellStyle name="Normal 2" xfId="39" xr:uid="{C7240342-589E-4B65-BC89-6469E5BB78A9}"/>
    <cellStyle name="Percent" xfId="2" builtinId="5"/>
    <cellStyle name="SAPBorder" xfId="21" xr:uid="{3BD4A55E-C857-4A73-A97D-942018AE5D63}"/>
    <cellStyle name="SAPDataCell" xfId="4" xr:uid="{3C38E29D-D68C-4C42-8A18-89A6E842B9B7}"/>
    <cellStyle name="SAPDataTotalCell" xfId="5" xr:uid="{9AC6187E-9CB3-47CB-B419-709A4FE7FF43}"/>
    <cellStyle name="SAPDimensionCell" xfId="3" xr:uid="{AC8AD55D-75AC-40DA-A722-B1E20B7220C1}"/>
    <cellStyle name="SAPEditableDataCell" xfId="6" xr:uid="{565295B7-641C-4D05-94A7-E3507FD1D3B8}"/>
    <cellStyle name="SAPEditableDataTotalCell" xfId="9" xr:uid="{B29E731A-45EC-43AE-92DF-DB27CF0B6263}"/>
    <cellStyle name="SAPEmphasized" xfId="29" xr:uid="{C10760A8-5176-48CD-A3F8-538A8CB2743B}"/>
    <cellStyle name="SAPEmphasizedEditableDataCell" xfId="31" xr:uid="{85393C46-A9B1-4627-9E55-970A5E17B42F}"/>
    <cellStyle name="SAPEmphasizedEditableDataTotalCell" xfId="32" xr:uid="{89AC1F37-F0A6-4996-B266-EDAB2A36BABB}"/>
    <cellStyle name="SAPEmphasizedLockedDataCell" xfId="35" xr:uid="{CDA51641-7C06-45E5-8726-216AE95B6E7D}"/>
    <cellStyle name="SAPEmphasizedLockedDataTotalCell" xfId="36" xr:uid="{941766EB-B19C-4C6B-91E9-43422183B632}"/>
    <cellStyle name="SAPEmphasizedReadonlyDataCell" xfId="33" xr:uid="{6252552B-9723-4F35-BA7F-3689D92C8274}"/>
    <cellStyle name="SAPEmphasizedReadonlyDataTotalCell" xfId="34" xr:uid="{79541B3B-6A4D-4F9C-BD2E-0F9E1DB1E6FD}"/>
    <cellStyle name="SAPEmphasizedTotal" xfId="30" xr:uid="{B1C8F8B8-B299-46E6-8BCB-D3EF0AC1DA1B}"/>
    <cellStyle name="SAPExceptionLevel1" xfId="12" xr:uid="{E5B7BDE7-39BA-4010-8FEF-EE8319AEEBF5}"/>
    <cellStyle name="SAPExceptionLevel2" xfId="13" xr:uid="{A54FCBCC-6A1D-4912-97AF-DF05C8751A64}"/>
    <cellStyle name="SAPExceptionLevel3" xfId="14" xr:uid="{5BED0198-D4F6-458F-9F04-200058E7DD47}"/>
    <cellStyle name="SAPExceptionLevel4" xfId="15" xr:uid="{196341CC-0D03-460D-B391-1A359503722B}"/>
    <cellStyle name="SAPExceptionLevel5" xfId="16" xr:uid="{F26C3A9D-A3E8-4129-9D5A-9D9C57EF8C40}"/>
    <cellStyle name="SAPExceptionLevel6" xfId="17" xr:uid="{149D8939-F444-4F94-9B95-2458F8EFD7AF}"/>
    <cellStyle name="SAPExceptionLevel7" xfId="18" xr:uid="{1B2AA113-2AA4-4A18-9294-BC428CFD0259}"/>
    <cellStyle name="SAPExceptionLevel8" xfId="19" xr:uid="{E72C17D5-9580-4D5C-9EF2-C095DF32053E}"/>
    <cellStyle name="SAPExceptionLevel9" xfId="20" xr:uid="{8DC838FB-9982-41D5-B5D1-B68044D819D4}"/>
    <cellStyle name="SAPFormula" xfId="38" xr:uid="{AA97D76C-3368-4DD9-8D4D-3907C2C3CBE0}"/>
    <cellStyle name="SAPHierarchyCell0" xfId="24" xr:uid="{4D591EE3-EA07-4A55-B518-681BF6FB91A0}"/>
    <cellStyle name="SAPHierarchyCell1" xfId="25" xr:uid="{A34BC9A4-41D1-4253-AC84-43FC26B0A315}"/>
    <cellStyle name="SAPHierarchyCell2" xfId="26" xr:uid="{8F5B22A6-3F81-4AF9-9749-674DFF3E3322}"/>
    <cellStyle name="SAPHierarchyCell3" xfId="27" xr:uid="{9BFF798D-171A-43AF-B65E-DDBC1E7B6CA4}"/>
    <cellStyle name="SAPHierarchyCell4" xfId="28" xr:uid="{DA946C22-B3FE-4B07-879F-2FDA55D458C8}"/>
    <cellStyle name="SAPLockedDataCell" xfId="8" xr:uid="{16A9BFEE-AD7D-4098-AB69-F3C8C39EF08B}"/>
    <cellStyle name="SAPLockedDataTotalCell" xfId="11" xr:uid="{16741417-DAA7-4032-A1FA-B76FFE2CBADF}"/>
    <cellStyle name="SAPMemberCell" xfId="22" xr:uid="{6DAD4151-438C-4F71-AFA8-512245CCD519}"/>
    <cellStyle name="SAPMemberTotalCell" xfId="23" xr:uid="{DB6FB5F7-C44F-4B84-B3A5-82E10041B9E8}"/>
    <cellStyle name="SAPMessageText" xfId="37" xr:uid="{820061DE-E8D7-4835-95DE-76DFB262002C}"/>
    <cellStyle name="SAPReadonlyDataCell" xfId="7" xr:uid="{5E77164B-579C-4FC2-8742-8D00902930A0}"/>
    <cellStyle name="SAPReadonlyDataTotalCell" xfId="10" xr:uid="{6363357D-85F9-4C3D-9C2C-58A4483E4CFB}"/>
  </cellStyles>
  <dxfs count="72">
    <dxf>
      <font>
        <color auto="1"/>
      </font>
      <fill>
        <patternFill>
          <bgColor rgb="FF7BED91"/>
        </patternFill>
      </fill>
    </dxf>
    <dxf>
      <font>
        <color auto="1"/>
      </font>
      <fill>
        <patternFill>
          <bgColor rgb="FFFF7979"/>
        </patternFill>
      </fill>
    </dxf>
    <dxf>
      <fill>
        <patternFill>
          <bgColor rgb="FFFF6565"/>
        </patternFill>
      </fill>
    </dxf>
    <dxf>
      <fill>
        <patternFill>
          <bgColor rgb="FF00D25F"/>
        </patternFill>
      </fill>
    </dxf>
    <dxf>
      <font>
        <color rgb="FFFF6565"/>
      </font>
      <fill>
        <patternFill>
          <bgColor rgb="FFFF6565"/>
        </patternFill>
      </fill>
    </dxf>
    <dxf>
      <font>
        <color auto="1"/>
      </font>
      <fill>
        <patternFill>
          <bgColor rgb="FF00D25F"/>
        </patternFill>
      </fill>
    </dxf>
    <dxf>
      <fill>
        <patternFill>
          <bgColor rgb="FFFFBDBD"/>
        </patternFill>
      </fill>
    </dxf>
    <dxf>
      <fill>
        <patternFill>
          <bgColor rgb="FFFFBDBD"/>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ill>
        <patternFill>
          <bgColor rgb="FFFFBDBD"/>
        </patternFill>
      </fill>
    </dxf>
    <dxf>
      <fill>
        <patternFill>
          <bgColor rgb="FFFFBDBD"/>
        </patternFill>
      </fill>
    </dxf>
    <dxf>
      <fill>
        <patternFill>
          <bgColor rgb="FFFFBDBD"/>
        </patternFill>
      </fill>
    </dxf>
    <dxf>
      <fill>
        <patternFill>
          <bgColor rgb="FFFFBDBD"/>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rgb="FF7BED91"/>
      </font>
      <fill>
        <patternFill>
          <bgColor rgb="FF7BED91"/>
        </patternFill>
      </fill>
    </dxf>
    <dxf>
      <font>
        <color auto="1"/>
      </font>
      <fill>
        <patternFill>
          <bgColor rgb="FFFF7979"/>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auto="1"/>
      </font>
      <fill>
        <patternFill>
          <bgColor theme="0"/>
        </patternFill>
      </fill>
    </dxf>
    <dxf>
      <font>
        <color auto="1"/>
      </font>
      <fill>
        <patternFill>
          <bgColor rgb="FFFFB3B3"/>
        </patternFill>
      </fill>
    </dxf>
    <dxf>
      <font>
        <color rgb="FFFF6565"/>
      </font>
      <fill>
        <patternFill>
          <bgColor rgb="FFFF6565"/>
        </patternFill>
      </fill>
    </dxf>
    <dxf>
      <font>
        <color auto="1"/>
      </font>
      <fill>
        <patternFill>
          <bgColor rgb="FF00D25F"/>
        </patternFill>
      </fill>
    </dxf>
    <dxf>
      <fill>
        <patternFill>
          <bgColor rgb="FFFF6565"/>
        </patternFill>
      </fill>
    </dxf>
    <dxf>
      <fill>
        <patternFill>
          <bgColor rgb="FF00D25F"/>
        </patternFill>
      </fill>
    </dxf>
    <dxf>
      <numFmt numFmtId="168" formatCode="#,##0_);\(#,##0\)"/>
      <fill>
        <patternFill>
          <bgColor rgb="FFFF6161"/>
        </patternFill>
      </fill>
    </dxf>
    <dxf>
      <numFmt numFmtId="168" formatCode="#,##0_);\(#,##0\)"/>
      <fill>
        <patternFill>
          <bgColor rgb="FF00D25F"/>
        </patternFill>
      </fill>
    </dxf>
  </dxfs>
  <tableStyles count="0" defaultTableStyle="TableStyleMedium2" defaultPivotStyle="PivotStyleLight16"/>
  <colors>
    <mruColors>
      <color rgb="FFF8F200"/>
      <color rgb="FFFFFFAB"/>
      <color rgb="FFFF7979"/>
      <color rgb="FFFFB3B3"/>
      <color rgb="FFF7FFFB"/>
      <color rgb="FFFFBDBD"/>
      <color rgb="FF7BED91"/>
      <color rgb="FF1DD941"/>
      <color rgb="FF00EA6A"/>
      <color rgb="FFDDF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activeX/activeX52.xml><?xml version="1.0" encoding="utf-8"?>
<ax:ocx xmlns:ax="http://schemas.microsoft.com/office/2006/activeX" xmlns:r="http://schemas.openxmlformats.org/officeDocument/2006/relationships" ax:classid="{8BD21D10-EC42-11CE-9E0D-00AA006002F3}" ax:persistence="persistStreamInit" r:id="rId1"/>
</file>

<file path=xl/activeX/activeX53.xml><?xml version="1.0" encoding="utf-8"?>
<ax:ocx xmlns:ax="http://schemas.microsoft.com/office/2006/activeX" xmlns:r="http://schemas.openxmlformats.org/officeDocument/2006/relationships" ax:classid="{8BD21D10-EC42-11CE-9E0D-00AA006002F3}" ax:persistence="persistStreamInit" r:id="rId1"/>
</file>

<file path=xl/activeX/activeX54.xml><?xml version="1.0" encoding="utf-8"?>
<ax:ocx xmlns:ax="http://schemas.microsoft.com/office/2006/activeX" xmlns:r="http://schemas.openxmlformats.org/officeDocument/2006/relationships" ax:classid="{8BD21D10-EC42-11CE-9E0D-00AA006002F3}" ax:persistence="persistStreamInit" r:id="rId1"/>
</file>

<file path=xl/activeX/activeX55.xml><?xml version="1.0" encoding="utf-8"?>
<ax:ocx xmlns:ax="http://schemas.microsoft.com/office/2006/activeX" xmlns:r="http://schemas.openxmlformats.org/officeDocument/2006/relationships" ax:classid="{8BD21D10-EC42-11CE-9E0D-00AA006002F3}" ax:persistence="persistStreamInit" r:id="rId1"/>
</file>

<file path=xl/activeX/activeX56.xml><?xml version="1.0" encoding="utf-8"?>
<ax:ocx xmlns:ax="http://schemas.microsoft.com/office/2006/activeX" xmlns:r="http://schemas.openxmlformats.org/officeDocument/2006/relationships" ax:classid="{8BD21D10-EC42-11CE-9E0D-00AA006002F3}" ax:persistence="persistStreamInit" r:id="rId1"/>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AA1"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CheckBox" fmlaLink="AB1" lockText="1" noThreeD="1"/>
</file>

<file path=xl/ctrlProps/ctrlProp8.xml><?xml version="1.0" encoding="utf-8"?>
<formControlPr xmlns="http://schemas.microsoft.com/office/spreadsheetml/2009/9/main" objectType="Label" lockText="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firstButton="1" lockText="1" noThreeD="1"/>
</file>

<file path=xl/ctrlProps/ctrlProp11.xml><?xml version="1.0" encoding="utf-8"?>
<formControlPr xmlns="http://schemas.microsoft.com/office/spreadsheetml/2009/9/main" objectType="Radio"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Label" lockText="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firstButton="1" lockText="1" noThreeD="1"/>
</file>

<file path=xl/ctrlProps/ctrlProp20.xml><?xml version="1.0" encoding="utf-8"?>
<formControlPr xmlns="http://schemas.microsoft.com/office/spreadsheetml/2009/9/main" objectType="Radio"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checked="Checked" firstButton="1"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GBox" noThreeD="1"/>
</file>

<file path=xl/ctrlProps/ctrlProp44.xml><?xml version="1.0" encoding="utf-8"?>
<formControlPr xmlns="http://schemas.microsoft.com/office/spreadsheetml/2009/9/main" objectType="Radio" firstButton="1" lockText="1" noThreeD="1"/>
</file>

<file path=xl/ctrlProps/ctrlProp45.xml><?xml version="1.0" encoding="utf-8"?>
<formControlPr xmlns="http://schemas.microsoft.com/office/spreadsheetml/2009/9/main" objectType="Radio" checked="Checked"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Button" lockText="1"/>
</file>

<file path=xl/ctrlProps/ctrlProp53.xml><?xml version="1.0" encoding="utf-8"?>
<formControlPr xmlns="http://schemas.microsoft.com/office/spreadsheetml/2009/9/main" objectType="Button" lockText="1"/>
</file>

<file path=xl/ctrlProps/ctrlProp54.xml><?xml version="1.0" encoding="utf-8"?>
<formControlPr xmlns="http://schemas.microsoft.com/office/spreadsheetml/2009/9/main" objectType="Button" lockText="1"/>
</file>

<file path=xl/ctrlProps/ctrlProp55.xml><?xml version="1.0" encoding="utf-8"?>
<formControlPr xmlns="http://schemas.microsoft.com/office/spreadsheetml/2009/9/main" objectType="Button" lockText="1"/>
</file>

<file path=xl/ctrlProps/ctrlProp56.xml><?xml version="1.0" encoding="utf-8"?>
<formControlPr xmlns="http://schemas.microsoft.com/office/spreadsheetml/2009/9/main" objectType="Button" lockText="1"/>
</file>

<file path=xl/ctrlProps/ctrlProp57.xml><?xml version="1.0" encoding="utf-8"?>
<formControlPr xmlns="http://schemas.microsoft.com/office/spreadsheetml/2009/9/main" objectType="Button" lockText="1"/>
</file>

<file path=xl/ctrlProps/ctrlProp58.xml><?xml version="1.0" encoding="utf-8"?>
<formControlPr xmlns="http://schemas.microsoft.com/office/spreadsheetml/2009/9/main" objectType="Button" lockText="1"/>
</file>

<file path=xl/ctrlProps/ctrlProp59.xml><?xml version="1.0" encoding="utf-8"?>
<formControlPr xmlns="http://schemas.microsoft.com/office/spreadsheetml/2009/9/main" objectType="Button" lockText="1"/>
</file>

<file path=xl/ctrlProps/ctrlProp60.xml><?xml version="1.0" encoding="utf-8"?>
<formControlPr xmlns="http://schemas.microsoft.com/office/spreadsheetml/2009/9/main" objectType="Button" lockText="1"/>
</file>

<file path=xl/ctrlProps/ctrlProp61.xml><?xml version="1.0" encoding="utf-8"?>
<formControlPr xmlns="http://schemas.microsoft.com/office/spreadsheetml/2009/9/main" objectType="Button" lockText="1"/>
</file>

<file path=xl/ctrlProps/ctrlProp62.xml><?xml version="1.0" encoding="utf-8"?>
<formControlPr xmlns="http://schemas.microsoft.com/office/spreadsheetml/2009/9/main" objectType="Button" lockText="1"/>
</file>

<file path=xl/ctrlProps/ctrlProp63.xml><?xml version="1.0" encoding="utf-8"?>
<formControlPr xmlns="http://schemas.microsoft.com/office/spreadsheetml/2009/9/main" objectType="Button" lockText="1"/>
</file>

<file path=xl/ctrlProps/ctrlProp64.xml><?xml version="1.0" encoding="utf-8"?>
<formControlPr xmlns="http://schemas.microsoft.com/office/spreadsheetml/2009/9/main" objectType="Button" lockText="1"/>
</file>

<file path=xl/ctrlProps/ctrlProp65.xml><?xml version="1.0" encoding="utf-8"?>
<formControlPr xmlns="http://schemas.microsoft.com/office/spreadsheetml/2009/9/main" objectType="Button" lockText="1"/>
</file>

<file path=xl/ctrlProps/ctrlProp66.xml><?xml version="1.0" encoding="utf-8"?>
<formControlPr xmlns="http://schemas.microsoft.com/office/spreadsheetml/2009/9/main" objectType="Button" lockText="1"/>
</file>

<file path=xl/ctrlProps/ctrlProp67.xml><?xml version="1.0" encoding="utf-8"?>
<formControlPr xmlns="http://schemas.microsoft.com/office/spreadsheetml/2009/9/main" objectType="Button" lockText="1"/>
</file>

<file path=xl/ctrlProps/ctrlProp68.xml><?xml version="1.0" encoding="utf-8"?>
<formControlPr xmlns="http://schemas.microsoft.com/office/spreadsheetml/2009/9/main" objectType="Button" lockText="1"/>
</file>

<file path=xl/ctrlProps/ctrlProp69.xml><?xml version="1.0" encoding="utf-8"?>
<formControlPr xmlns="http://schemas.microsoft.com/office/spreadsheetml/2009/9/main" objectType="Button" lockText="1"/>
</file>

<file path=xl/ctrlProps/ctrlProp70.xml><?xml version="1.0" encoding="utf-8"?>
<formControlPr xmlns="http://schemas.microsoft.com/office/spreadsheetml/2009/9/main" objectType="Button" lockText="1"/>
</file>

<file path=xl/ctrlProps/ctrlProp71.xml><?xml version="1.0" encoding="utf-8"?>
<formControlPr xmlns="http://schemas.microsoft.com/office/spreadsheetml/2009/9/main" objectType="Button" lockText="1"/>
</file>

<file path=xl/ctrlProps/ctrlProp72.xml><?xml version="1.0" encoding="utf-8"?>
<formControlPr xmlns="http://schemas.microsoft.com/office/spreadsheetml/2009/9/main" objectType="Button" lockText="1"/>
</file>

<file path=xl/ctrlProps/ctrlProp73.xml><?xml version="1.0" encoding="utf-8"?>
<formControlPr xmlns="http://schemas.microsoft.com/office/spreadsheetml/2009/9/main" objectType="Button" lockText="1"/>
</file>

<file path=xl/ctrlProps/ctrlProp74.xml><?xml version="1.0" encoding="utf-8"?>
<formControlPr xmlns="http://schemas.microsoft.com/office/spreadsheetml/2009/9/main" objectType="Button" lockText="1"/>
</file>

<file path=xl/ctrlProps/ctrlProp75.xml><?xml version="1.0" encoding="utf-8"?>
<formControlPr xmlns="http://schemas.microsoft.com/office/spreadsheetml/2009/9/main" objectType="Button" lockText="1"/>
</file>

<file path=xl/ctrlProps/ctrlProp76.xml><?xml version="1.0" encoding="utf-8"?>
<formControlPr xmlns="http://schemas.microsoft.com/office/spreadsheetml/2009/9/main" objectType="Button" lockText="1"/>
</file>

<file path=xl/ctrlProps/ctrlProp77.xml><?xml version="1.0" encoding="utf-8"?>
<formControlPr xmlns="http://schemas.microsoft.com/office/spreadsheetml/2009/9/main" objectType="Button" lockText="1"/>
</file>

<file path=xl/ctrlProps/ctrlProp78.xml><?xml version="1.0" encoding="utf-8"?>
<formControlPr xmlns="http://schemas.microsoft.com/office/spreadsheetml/2009/9/main" objectType="Button" lockText="1"/>
</file>

<file path=xl/ctrlProps/ctrlProp79.xml><?xml version="1.0" encoding="utf-8"?>
<formControlPr xmlns="http://schemas.microsoft.com/office/spreadsheetml/2009/9/main" objectType="Button" lockText="1"/>
</file>

<file path=xl/ctrlProps/ctrlProp80.xml><?xml version="1.0" encoding="utf-8"?>
<formControlPr xmlns="http://schemas.microsoft.com/office/spreadsheetml/2009/9/main" objectType="Button" lockText="1"/>
</file>

<file path=xl/ctrlProps/ctrlProp81.xml><?xml version="1.0" encoding="utf-8"?>
<formControlPr xmlns="http://schemas.microsoft.com/office/spreadsheetml/2009/9/main" objectType="Button" lockText="1"/>
</file>

<file path=xl/ctrlProps/ctrlProp82.xml><?xml version="1.0" encoding="utf-8"?>
<formControlPr xmlns="http://schemas.microsoft.com/office/spreadsheetml/2009/9/main" objectType="Button" lockText="1"/>
</file>

<file path=xl/ctrlProps/ctrlProp83.xml><?xml version="1.0" encoding="utf-8"?>
<formControlPr xmlns="http://schemas.microsoft.com/office/spreadsheetml/2009/9/main" objectType="Button" lockText="1"/>
</file>

<file path=xl/ctrlProps/ctrlProp84.xml><?xml version="1.0" encoding="utf-8"?>
<formControlPr xmlns="http://schemas.microsoft.com/office/spreadsheetml/2009/9/main" objectType="Button" lockText="1"/>
</file>

<file path=xl/ctrlProps/ctrlProp85.xml><?xml version="1.0" encoding="utf-8"?>
<formControlPr xmlns="http://schemas.microsoft.com/office/spreadsheetml/2009/9/main" objectType="GBox" noThreeD="1"/>
</file>

<file path=xl/ctrlProps/ctrlProp86.xml><?xml version="1.0" encoding="utf-8"?>
<formControlPr xmlns="http://schemas.microsoft.com/office/spreadsheetml/2009/9/main" objectType="Radio" firstButton="1" lockText="1" noThreeD="1"/>
</file>

<file path=xl/ctrlProps/ctrlProp87.xml><?xml version="1.0" encoding="utf-8"?>
<formControlPr xmlns="http://schemas.microsoft.com/office/spreadsheetml/2009/9/main" objectType="Radio" checked="Checked" lockText="1" noThreeD="1"/>
</file>

<file path=xl/ctrlProps/ctrlProp88.xml><?xml version="1.0" encoding="utf-8"?>
<formControlPr xmlns="http://schemas.microsoft.com/office/spreadsheetml/2009/9/main" objectType="GBox" noThreeD="1"/>
</file>

<file path=xl/ctrlProps/ctrlProp89.xml><?xml version="1.0" encoding="utf-8"?>
<formControlPr xmlns="http://schemas.microsoft.com/office/spreadsheetml/2009/9/main" objectType="Radio" checked="Checked" firstButton="1" fmlaLink="AA1"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CheckBox" fmlaLink="AB1" lockText="1" noThreeD="1"/>
</file>

<file path=xl/ctrlProps/ctrlProp92.xml><?xml version="1.0" encoding="utf-8"?>
<formControlPr xmlns="http://schemas.microsoft.com/office/spreadsheetml/2009/9/main" objectType="Label" lockText="1"/>
</file>

<file path=xl/ctrlProps/ctrlProp93.xml><?xml version="1.0" encoding="utf-8"?>
<formControlPr xmlns="http://schemas.microsoft.com/office/spreadsheetml/2009/9/main" objectType="GBox" noThreeD="1"/>
</file>

<file path=xl/ctrlProps/ctrlProp94.xml><?xml version="1.0" encoding="utf-8"?>
<formControlPr xmlns="http://schemas.microsoft.com/office/spreadsheetml/2009/9/main" objectType="Radio" firstButton="1" lockText="1" noThreeD="1"/>
</file>

<file path=xl/ctrlProps/ctrlProp95.xml><?xml version="1.0" encoding="utf-8"?>
<formControlPr xmlns="http://schemas.microsoft.com/office/spreadsheetml/2009/9/main" objectType="Radio" checked="Checked"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Button" lockText="1"/>
</file>

<file path=xl/ctrlProps/ctrlProp100.xml><?xml version="1.0" encoding="utf-8"?>
<formControlPr xmlns="http://schemas.microsoft.com/office/spreadsheetml/2009/9/main" objectType="Button" lockText="1"/>
</file>

<file path=xl/ctrlProps/ctrlProp101.xml><?xml version="1.0" encoding="utf-8"?>
<formControlPr xmlns="http://schemas.microsoft.com/office/spreadsheetml/2009/9/main" objectType="Label" lockText="1"/>
</file>

<file path=xl/ctrlProps/ctrlProp102.xml><?xml version="1.0" encoding="utf-8"?>
<formControlPr xmlns="http://schemas.microsoft.com/office/spreadsheetml/2009/9/main" objectType="GBox" noThreeD="1"/>
</file>

<file path=xl/ctrlProps/ctrlProp103.xml><?xml version="1.0" encoding="utf-8"?>
<formControlPr xmlns="http://schemas.microsoft.com/office/spreadsheetml/2009/9/main" objectType="Radio" firstButton="1" lockText="1" noThreeD="1"/>
</file>

<file path=xl/ctrlProps/ctrlProp104.xml><?xml version="1.0" encoding="utf-8"?>
<formControlPr xmlns="http://schemas.microsoft.com/office/spreadsheetml/2009/9/main" objectType="Radio" checked="Checked"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Button" lockText="1"/>
</file>

<file path=xl/ctrlProps/ctrlProp109.xml><?xml version="1.0" encoding="utf-8"?>
<formControlPr xmlns="http://schemas.microsoft.com/office/spreadsheetml/2009/9/main" objectType="Button" lockText="1"/>
</file>

<file path=xl/ctrlProps/ctrlProp110.xml><?xml version="1.0" encoding="utf-8"?>
<formControlPr xmlns="http://schemas.microsoft.com/office/spreadsheetml/2009/9/main" objectType="GBox" noThreeD="1"/>
</file>

<file path=xl/ctrlProps/ctrlProp111.xml><?xml version="1.0" encoding="utf-8"?>
<formControlPr xmlns="http://schemas.microsoft.com/office/spreadsheetml/2009/9/main" objectType="Radio" firstButton="1" lockText="1" noThreeD="1"/>
</file>

<file path=xl/ctrlProps/ctrlProp112.xml><?xml version="1.0" encoding="utf-8"?>
<formControlPr xmlns="http://schemas.microsoft.com/office/spreadsheetml/2009/9/main" objectType="Radio" checked="Checked"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Button" lockText="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Button" lockText="1"/>
</file>

<file path=xl/ctrlProps/ctrlProp127.xml><?xml version="1.0" encoding="utf-8"?>
<formControlPr xmlns="http://schemas.microsoft.com/office/spreadsheetml/2009/9/main" objectType="GBox" noThreeD="1"/>
</file>

<file path=xl/ctrlProps/ctrlProp128.xml><?xml version="1.0" encoding="utf-8"?>
<formControlPr xmlns="http://schemas.microsoft.com/office/spreadsheetml/2009/9/main" objectType="Radio" firstButton="1" lockText="1" noThreeD="1"/>
</file>

<file path=xl/ctrlProps/ctrlProp129.xml><?xml version="1.0" encoding="utf-8"?>
<formControlPr xmlns="http://schemas.microsoft.com/office/spreadsheetml/2009/9/main" objectType="Radio" checked="Checked"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checked="Checked" lockText="1" noThreeD="1"/>
</file>

<file path=xl/ctrlProps/ctrlProp132.xml><?xml version="1.0" encoding="utf-8"?>
<formControlPr xmlns="http://schemas.microsoft.com/office/spreadsheetml/2009/9/main" objectType="CheckBox" checked="Checked" lockText="1" noThreeD="1"/>
</file>

<file path=xl/ctrlProps/ctrlProp133.xml><?xml version="1.0" encoding="utf-8"?>
<formControlPr xmlns="http://schemas.microsoft.com/office/spreadsheetml/2009/9/main" objectType="CheckBox" checked="Checked" lockText="1" noThreeD="1"/>
</file>

<file path=xl/ctrlProps/ctrlProp134.xml><?xml version="1.0" encoding="utf-8"?>
<formControlPr xmlns="http://schemas.microsoft.com/office/spreadsheetml/2009/9/main" objectType="CheckBox" checked="Checked"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Button" lockText="1"/>
</file>

<file path=xl/ctrlProps/ctrlProp137.xml><?xml version="1.0" encoding="utf-8"?>
<formControlPr xmlns="http://schemas.microsoft.com/office/spreadsheetml/2009/9/main" objectType="Button" lockText="1"/>
</file>

<file path=xl/ctrlProps/ctrlProp138.xml><?xml version="1.0" encoding="utf-8"?>
<formControlPr xmlns="http://schemas.microsoft.com/office/spreadsheetml/2009/9/main" objectType="Button" lockText="1"/>
</file>

<file path=xl/ctrlProps/ctrlProp139.xml><?xml version="1.0" encoding="utf-8"?>
<formControlPr xmlns="http://schemas.microsoft.com/office/spreadsheetml/2009/9/main" objectType="Button" lockText="1"/>
</file>

<file path=xl/ctrlProps/ctrlProp140.xml><?xml version="1.0" encoding="utf-8"?>
<formControlPr xmlns="http://schemas.microsoft.com/office/spreadsheetml/2009/9/main" objectType="Button" lockText="1"/>
</file>

<file path=xl/ctrlProps/ctrlProp141.xml><?xml version="1.0" encoding="utf-8"?>
<formControlPr xmlns="http://schemas.microsoft.com/office/spreadsheetml/2009/9/main" objectType="GBox" noThreeD="1"/>
</file>

<file path=xl/ctrlProps/ctrlProp142.xml><?xml version="1.0" encoding="utf-8"?>
<formControlPr xmlns="http://schemas.microsoft.com/office/spreadsheetml/2009/9/main" objectType="Radio" firstButton="1" lockText="1" noThreeD="1"/>
</file>

<file path=xl/ctrlProps/ctrlProp143.xml><?xml version="1.0" encoding="utf-8"?>
<formControlPr xmlns="http://schemas.microsoft.com/office/spreadsheetml/2009/9/main" objectType="Radio" checked="Checked" lockText="1" noThreeD="1"/>
</file>

<file path=xl/ctrlProps/ctrlProp144.xml><?xml version="1.0" encoding="utf-8"?>
<formControlPr xmlns="http://schemas.microsoft.com/office/spreadsheetml/2009/9/main" objectType="GBox" noThreeD="1"/>
</file>

<file path=xl/ctrlProps/ctrlProp145.xml><?xml version="1.0" encoding="utf-8"?>
<formControlPr xmlns="http://schemas.microsoft.com/office/spreadsheetml/2009/9/main" objectType="Radio" checked="Checked" firstButton="1" fmlaLink="AA1" lockText="1" noThreeD="1"/>
</file>

<file path=xl/ctrlProps/ctrlProp146.xml><?xml version="1.0" encoding="utf-8"?>
<formControlPr xmlns="http://schemas.microsoft.com/office/spreadsheetml/2009/9/main" objectType="Radio" lockText="1" noThreeD="1"/>
</file>

<file path=xl/ctrlProps/ctrlProp147.xml><?xml version="1.0" encoding="utf-8"?>
<formControlPr xmlns="http://schemas.microsoft.com/office/spreadsheetml/2009/9/main" objectType="CheckBox" fmlaLink="AB1" lockText="1" noThreeD="1"/>
</file>

<file path=xl/ctrlProps/ctrlProp148.xml><?xml version="1.0" encoding="utf-8"?>
<formControlPr xmlns="http://schemas.microsoft.com/office/spreadsheetml/2009/9/main" objectType="Label" lockText="1"/>
</file>

<file path=xl/ctrlProps/ctrlProp149.xml><?xml version="1.0" encoding="utf-8"?>
<formControlPr xmlns="http://schemas.microsoft.com/office/spreadsheetml/2009/9/main" objectType="GBox" noThreeD="1"/>
</file>

<file path=xl/ctrlProps/ctrlProp150.xml><?xml version="1.0" encoding="utf-8"?>
<formControlPr xmlns="http://schemas.microsoft.com/office/spreadsheetml/2009/9/main" objectType="Radio" firstButton="1" lockText="1" noThreeD="1"/>
</file>

<file path=xl/ctrlProps/ctrlProp151.xml><?xml version="1.0" encoding="utf-8"?>
<formControlPr xmlns="http://schemas.microsoft.com/office/spreadsheetml/2009/9/main" objectType="Radio" checked="Checked"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Button" lockText="1"/>
</file>

<file path=xl/ctrlProps/ctrlProp156.xml><?xml version="1.0" encoding="utf-8"?>
<formControlPr xmlns="http://schemas.microsoft.com/office/spreadsheetml/2009/9/main" objectType="Button" lockText="1"/>
</file>

<file path=xl/ctrlProps/ctrlProp157.xml><?xml version="1.0" encoding="utf-8"?>
<formControlPr xmlns="http://schemas.microsoft.com/office/spreadsheetml/2009/9/main" objectType="Label" lockText="1"/>
</file>

<file path=xl/ctrlProps/ctrlProp158.xml><?xml version="1.0" encoding="utf-8"?>
<formControlPr xmlns="http://schemas.microsoft.com/office/spreadsheetml/2009/9/main" objectType="GBox" noThreeD="1"/>
</file>

<file path=xl/ctrlProps/ctrlProp159.xml><?xml version="1.0" encoding="utf-8"?>
<formControlPr xmlns="http://schemas.microsoft.com/office/spreadsheetml/2009/9/main" objectType="Radio" firstButton="1" lockText="1" noThreeD="1"/>
</file>

<file path=xl/ctrlProps/ctrlProp160.xml><?xml version="1.0" encoding="utf-8"?>
<formControlPr xmlns="http://schemas.microsoft.com/office/spreadsheetml/2009/9/main" objectType="Radio" checked="Checked" lockText="1" noThreeD="1"/>
</file>

<file path=xl/ctrlProps/ctrlProp161.xml><?xml version="1.0" encoding="utf-8"?>
<formControlPr xmlns="http://schemas.microsoft.com/office/spreadsheetml/2009/9/main" objectType="CheckBox" checked="Checked"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GBox" noThreeD="1"/>
</file>

<file path=xl/ctrlProps/ctrlProp167.xml><?xml version="1.0" encoding="utf-8"?>
<formControlPr xmlns="http://schemas.microsoft.com/office/spreadsheetml/2009/9/main" objectType="Radio" firstButton="1" lockText="1" noThreeD="1"/>
</file>

<file path=xl/ctrlProps/ctrlProp168.xml><?xml version="1.0" encoding="utf-8"?>
<formControlPr xmlns="http://schemas.microsoft.com/office/spreadsheetml/2009/9/main" objectType="Radio" checked="Checked"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Button" lockText="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checked="Checked"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checked="Checked" lockText="1" noThreeD="1"/>
</file>

<file path=xl/ctrlProps/ctrlProp182.xml><?xml version="1.0" encoding="utf-8"?>
<formControlPr xmlns="http://schemas.microsoft.com/office/spreadsheetml/2009/9/main" objectType="Button" lockText="1"/>
</file>

<file path=xl/ctrlProps/ctrlProp183.xml><?xml version="1.0" encoding="utf-8"?>
<formControlPr xmlns="http://schemas.microsoft.com/office/spreadsheetml/2009/9/main" objectType="GBox" noThreeD="1"/>
</file>

<file path=xl/ctrlProps/ctrlProp184.xml><?xml version="1.0" encoding="utf-8"?>
<formControlPr xmlns="http://schemas.microsoft.com/office/spreadsheetml/2009/9/main" objectType="Radio" firstButton="1" lockText="1" noThreeD="1"/>
</file>

<file path=xl/ctrlProps/ctrlProp185.xml><?xml version="1.0" encoding="utf-8"?>
<formControlPr xmlns="http://schemas.microsoft.com/office/spreadsheetml/2009/9/main" objectType="Radio" checked="Checked" lockText="1" noThreeD="1"/>
</file>

<file path=xl/ctrlProps/ctrlProp186.xml><?xml version="1.0" encoding="utf-8"?>
<formControlPr xmlns="http://schemas.microsoft.com/office/spreadsheetml/2009/9/main" objectType="CheckBox" checked="Checked" lockText="1" noThreeD="1"/>
</file>

<file path=xl/ctrlProps/ctrlProp187.xml><?xml version="1.0" encoding="utf-8"?>
<formControlPr xmlns="http://schemas.microsoft.com/office/spreadsheetml/2009/9/main" objectType="CheckBox" checked="Checked" lockText="1" noThreeD="1"/>
</file>

<file path=xl/ctrlProps/ctrlProp188.xml><?xml version="1.0" encoding="utf-8"?>
<formControlPr xmlns="http://schemas.microsoft.com/office/spreadsheetml/2009/9/main" objectType="CheckBox" checked="Checked" lockText="1" noThreeD="1"/>
</file>

<file path=xl/ctrlProps/ctrlProp189.xml><?xml version="1.0" encoding="utf-8"?>
<formControlPr xmlns="http://schemas.microsoft.com/office/spreadsheetml/2009/9/main" objectType="CheckBox" checked="Checked" lockText="1" noThreeD="1"/>
</file>

<file path=xl/ctrlProps/ctrlProp190.xml><?xml version="1.0" encoding="utf-8"?>
<formControlPr xmlns="http://schemas.microsoft.com/office/spreadsheetml/2009/9/main" objectType="CheckBox" checked="Checked" lockText="1" noThreeD="1"/>
</file>

<file path=xl/ctrlProps/ctrlProp191.xml><?xml version="1.0" encoding="utf-8"?>
<formControlPr xmlns="http://schemas.microsoft.com/office/spreadsheetml/2009/9/main" objectType="CheckBox" checked="Checked" lockText="1" noThreeD="1"/>
</file>

<file path=xl/ctrlProps/ctrlProp192.xml><?xml version="1.0" encoding="utf-8"?>
<formControlPr xmlns="http://schemas.microsoft.com/office/spreadsheetml/2009/9/main" objectType="Button" lockText="1"/>
</file>

<file path=xl/ctrlProps/ctrlProp193.xml><?xml version="1.0" encoding="utf-8"?>
<formControlPr xmlns="http://schemas.microsoft.com/office/spreadsheetml/2009/9/main" objectType="Button" lockText="1"/>
</file>

<file path=xl/ctrlProps/ctrlProp194.xml><?xml version="1.0" encoding="utf-8"?>
<formControlPr xmlns="http://schemas.microsoft.com/office/spreadsheetml/2009/9/main" objectType="Button" lockText="1"/>
</file>

<file path=xl/ctrlProps/ctrlProp195.xml><?xml version="1.0" encoding="utf-8"?>
<formControlPr xmlns="http://schemas.microsoft.com/office/spreadsheetml/2009/9/main" objectType="Button" lockText="1"/>
</file>

<file path=xl/ctrlProps/ctrlProp196.xml><?xml version="1.0" encoding="utf-8"?>
<formControlPr xmlns="http://schemas.microsoft.com/office/spreadsheetml/2009/9/main" objectType="Button" lockText="1"/>
</file>

<file path=xl/ctrlProps/ctrlProp197.xml><?xml version="1.0" encoding="utf-8"?>
<formControlPr xmlns="http://schemas.microsoft.com/office/spreadsheetml/2009/9/main" objectType="Button" lockText="1"/>
</file>

<file path=xl/ctrlProps/ctrlProp198.xml><?xml version="1.0" encoding="utf-8"?>
<formControlPr xmlns="http://schemas.microsoft.com/office/spreadsheetml/2009/9/main" objectType="Button" lockText="1"/>
</file>

<file path=xl/ctrlProps/ctrlProp199.xml><?xml version="1.0" encoding="utf-8"?>
<formControlPr xmlns="http://schemas.microsoft.com/office/spreadsheetml/2009/9/main" objectType="Button" lockText="1"/>
</file>

<file path=xl/ctrlProps/ctrlProp200.xml><?xml version="1.0" encoding="utf-8"?>
<formControlPr xmlns="http://schemas.microsoft.com/office/spreadsheetml/2009/9/main" objectType="Button" lockText="1"/>
</file>

<file path=xl/ctrlProps/ctrlProp201.xml><?xml version="1.0" encoding="utf-8"?>
<formControlPr xmlns="http://schemas.microsoft.com/office/spreadsheetml/2009/9/main" objectType="Button" lockText="1"/>
</file>

<file path=xl/ctrlProps/ctrlProp202.xml><?xml version="1.0" encoding="utf-8"?>
<formControlPr xmlns="http://schemas.microsoft.com/office/spreadsheetml/2009/9/main" objectType="Button" lockText="1"/>
</file>

<file path=xl/ctrlProps/ctrlProp203.xml><?xml version="1.0" encoding="utf-8"?>
<formControlPr xmlns="http://schemas.microsoft.com/office/spreadsheetml/2009/9/main" objectType="Button" lockText="1"/>
</file>

<file path=xl/ctrlProps/ctrlProp204.xml><?xml version="1.0" encoding="utf-8"?>
<formControlPr xmlns="http://schemas.microsoft.com/office/spreadsheetml/2009/9/main" objectType="Button" lockText="1"/>
</file>

<file path=xl/ctrlProps/ctrlProp205.xml><?xml version="1.0" encoding="utf-8"?>
<formControlPr xmlns="http://schemas.microsoft.com/office/spreadsheetml/2009/9/main" objectType="GBox" noThreeD="1"/>
</file>

<file path=xl/ctrlProps/ctrlProp206.xml><?xml version="1.0" encoding="utf-8"?>
<formControlPr xmlns="http://schemas.microsoft.com/office/spreadsheetml/2009/9/main" objectType="Radio" firstButton="1" lockText="1" noThreeD="1"/>
</file>

<file path=xl/ctrlProps/ctrlProp207.xml><?xml version="1.0" encoding="utf-8"?>
<formControlPr xmlns="http://schemas.microsoft.com/office/spreadsheetml/2009/9/main" objectType="Radio" checked="Checked" lockText="1" noThreeD="1"/>
</file>

<file path=xl/ctrlProps/ctrlProp208.xml><?xml version="1.0" encoding="utf-8"?>
<formControlPr xmlns="http://schemas.microsoft.com/office/spreadsheetml/2009/9/main" objectType="GBox" noThreeD="1"/>
</file>

<file path=xl/ctrlProps/ctrlProp209.xml><?xml version="1.0" encoding="utf-8"?>
<formControlPr xmlns="http://schemas.microsoft.com/office/spreadsheetml/2009/9/main" objectType="Radio" checked="Checked" firstButton="1" fmlaLink="AA1" lockText="1" noThreeD="1"/>
</file>

<file path=xl/ctrlProps/ctrlProp210.xml><?xml version="1.0" encoding="utf-8"?>
<formControlPr xmlns="http://schemas.microsoft.com/office/spreadsheetml/2009/9/main" objectType="Radio" lockText="1" noThreeD="1"/>
</file>

<file path=xl/ctrlProps/ctrlProp211.xml><?xml version="1.0" encoding="utf-8"?>
<formControlPr xmlns="http://schemas.microsoft.com/office/spreadsheetml/2009/9/main" objectType="CheckBox" fmlaLink="AB1" lockText="1" noThreeD="1"/>
</file>

<file path=xl/ctrlProps/ctrlProp212.xml><?xml version="1.0" encoding="utf-8"?>
<formControlPr xmlns="http://schemas.microsoft.com/office/spreadsheetml/2009/9/main" objectType="Label" lockText="1"/>
</file>

<file path=xl/ctrlProps/ctrlProp213.xml><?xml version="1.0" encoding="utf-8"?>
<formControlPr xmlns="http://schemas.microsoft.com/office/spreadsheetml/2009/9/main" objectType="GBox" noThreeD="1"/>
</file>

<file path=xl/ctrlProps/ctrlProp214.xml><?xml version="1.0" encoding="utf-8"?>
<formControlPr xmlns="http://schemas.microsoft.com/office/spreadsheetml/2009/9/main" objectType="Radio" firstButton="1" lockText="1" noThreeD="1"/>
</file>

<file path=xl/ctrlProps/ctrlProp215.xml><?xml version="1.0" encoding="utf-8"?>
<formControlPr xmlns="http://schemas.microsoft.com/office/spreadsheetml/2009/9/main" objectType="Radio" checked="Checked"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Button" lockText="1"/>
</file>

<file path=xl/ctrlProps/ctrlProp220.xml><?xml version="1.0" encoding="utf-8"?>
<formControlPr xmlns="http://schemas.microsoft.com/office/spreadsheetml/2009/9/main" objectType="Button" lockText="1"/>
</file>

<file path=xl/ctrlProps/ctrlProp221.xml><?xml version="1.0" encoding="utf-8"?>
<formControlPr xmlns="http://schemas.microsoft.com/office/spreadsheetml/2009/9/main" objectType="Label" lockText="1"/>
</file>

<file path=xl/ctrlProps/ctrlProp222.xml><?xml version="1.0" encoding="utf-8"?>
<formControlPr xmlns="http://schemas.microsoft.com/office/spreadsheetml/2009/9/main" objectType="GBox" noThreeD="1"/>
</file>

<file path=xl/ctrlProps/ctrlProp223.xml><?xml version="1.0" encoding="utf-8"?>
<formControlPr xmlns="http://schemas.microsoft.com/office/spreadsheetml/2009/9/main" objectType="Radio" firstButton="1" lockText="1" noThreeD="1"/>
</file>

<file path=xl/ctrlProps/ctrlProp224.xml><?xml version="1.0" encoding="utf-8"?>
<formControlPr xmlns="http://schemas.microsoft.com/office/spreadsheetml/2009/9/main" objectType="Radio" checked="Checked"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Button" lockText="1"/>
</file>

<file path=xl/ctrlProps/ctrlProp229.xml><?xml version="1.0" encoding="utf-8"?>
<formControlPr xmlns="http://schemas.microsoft.com/office/spreadsheetml/2009/9/main" objectType="Button" lockText="1"/>
</file>

<file path=xl/ctrlProps/ctrlProp230.xml><?xml version="1.0" encoding="utf-8"?>
<formControlPr xmlns="http://schemas.microsoft.com/office/spreadsheetml/2009/9/main" objectType="GBox" noThreeD="1"/>
</file>

<file path=xl/ctrlProps/ctrlProp231.xml><?xml version="1.0" encoding="utf-8"?>
<formControlPr xmlns="http://schemas.microsoft.com/office/spreadsheetml/2009/9/main" objectType="Radio" firstButton="1" lockText="1" noThreeD="1"/>
</file>

<file path=xl/ctrlProps/ctrlProp232.xml><?xml version="1.0" encoding="utf-8"?>
<formControlPr xmlns="http://schemas.microsoft.com/office/spreadsheetml/2009/9/main" objectType="Radio" checked="Checked"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checked="Checked" lockText="1" noThreeD="1"/>
</file>

<file path=xl/ctrlProps/ctrlProp239.xml><?xml version="1.0" encoding="utf-8"?>
<formControlPr xmlns="http://schemas.microsoft.com/office/spreadsheetml/2009/9/main" objectType="Button" lockText="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Button" lockText="1"/>
</file>

<file path=xl/ctrlProps/ctrlProp247.xml><?xml version="1.0" encoding="utf-8"?>
<formControlPr xmlns="http://schemas.microsoft.com/office/spreadsheetml/2009/9/main" objectType="GBox" noThreeD="1"/>
</file>

<file path=xl/ctrlProps/ctrlProp248.xml><?xml version="1.0" encoding="utf-8"?>
<formControlPr xmlns="http://schemas.microsoft.com/office/spreadsheetml/2009/9/main" objectType="Radio" firstButton="1" lockText="1" noThreeD="1"/>
</file>

<file path=xl/ctrlProps/ctrlProp249.xml><?xml version="1.0" encoding="utf-8"?>
<formControlPr xmlns="http://schemas.microsoft.com/office/spreadsheetml/2009/9/main" objectType="Radio" checked="Checked"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checked="Checked" lockText="1" noThreeD="1"/>
</file>

<file path=xl/ctrlProps/ctrlProp252.xml><?xml version="1.0" encoding="utf-8"?>
<formControlPr xmlns="http://schemas.microsoft.com/office/spreadsheetml/2009/9/main" objectType="CheckBox" checked="Checked"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checked="Checked" lockText="1" noThreeD="1"/>
</file>

<file path=xl/ctrlProps/ctrlProp255.xml><?xml version="1.0" encoding="utf-8"?>
<formControlPr xmlns="http://schemas.microsoft.com/office/spreadsheetml/2009/9/main" objectType="CheckBox" checked="Checked" lockText="1" noThreeD="1"/>
</file>

<file path=xl/ctrlProps/ctrlProp256.xml><?xml version="1.0" encoding="utf-8"?>
<formControlPr xmlns="http://schemas.microsoft.com/office/spreadsheetml/2009/9/main" objectType="Button" lockText="1"/>
</file>

<file path=xl/ctrlProps/ctrlProp257.xml><?xml version="1.0" encoding="utf-8"?>
<formControlPr xmlns="http://schemas.microsoft.com/office/spreadsheetml/2009/9/main" objectType="Button" lockText="1"/>
</file>

<file path=xl/ctrlProps/ctrlProp258.xml><?xml version="1.0" encoding="utf-8"?>
<formControlPr xmlns="http://schemas.microsoft.com/office/spreadsheetml/2009/9/main" objectType="Button" lockText="1"/>
</file>

<file path=xl/ctrlProps/ctrlProp259.xml><?xml version="1.0" encoding="utf-8"?>
<formControlPr xmlns="http://schemas.microsoft.com/office/spreadsheetml/2009/9/main" objectType="Button" lockText="1"/>
</file>

<file path=xl/ctrlProps/ctrlProp260.xml><?xml version="1.0" encoding="utf-8"?>
<formControlPr xmlns="http://schemas.microsoft.com/office/spreadsheetml/2009/9/main" objectType="Button" lockText="1"/>
</file>

<file path=xl/ctrlProps/ctrlProp261.xml><?xml version="1.0" encoding="utf-8"?>
<formControlPr xmlns="http://schemas.microsoft.com/office/spreadsheetml/2009/9/main" objectType="Button" lockText="1"/>
</file>

<file path=xl/ctrlProps/ctrlProp262.xml><?xml version="1.0" encoding="utf-8"?>
<formControlPr xmlns="http://schemas.microsoft.com/office/spreadsheetml/2009/9/main" objectType="Button" lockText="1"/>
</file>

<file path=xl/ctrlProps/ctrlProp263.xml><?xml version="1.0" encoding="utf-8"?>
<formControlPr xmlns="http://schemas.microsoft.com/office/spreadsheetml/2009/9/main" objectType="Button" lockText="1"/>
</file>

<file path=xl/ctrlProps/ctrlProp264.xml><?xml version="1.0" encoding="utf-8"?>
<formControlPr xmlns="http://schemas.microsoft.com/office/spreadsheetml/2009/9/main" objectType="Button" lockText="1"/>
</file>

<file path=xl/ctrlProps/ctrlProp265.xml><?xml version="1.0" encoding="utf-8"?>
<formControlPr xmlns="http://schemas.microsoft.com/office/spreadsheetml/2009/9/main" objectType="Button" lockText="1"/>
</file>

<file path=xl/ctrlProps/ctrlProp266.xml><?xml version="1.0" encoding="utf-8"?>
<formControlPr xmlns="http://schemas.microsoft.com/office/spreadsheetml/2009/9/main" objectType="Button" lockText="1"/>
</file>

<file path=xl/ctrlProps/ctrlProp267.xml><?xml version="1.0" encoding="utf-8"?>
<formControlPr xmlns="http://schemas.microsoft.com/office/spreadsheetml/2009/9/main" objectType="Button" lockText="1"/>
</file>

<file path=xl/ctrlProps/ctrlProp268.xml><?xml version="1.0" encoding="utf-8"?>
<formControlPr xmlns="http://schemas.microsoft.com/office/spreadsheetml/2009/9/main" objectType="Button" lockText="1"/>
</file>

<file path=xl/ctrlProps/ctrlProp269.xml><?xml version="1.0" encoding="utf-8"?>
<formControlPr xmlns="http://schemas.microsoft.com/office/spreadsheetml/2009/9/main" objectType="Button" lockText="1"/>
</file>

<file path=xl/ctrlProps/ctrlProp270.xml><?xml version="1.0" encoding="utf-8"?>
<formControlPr xmlns="http://schemas.microsoft.com/office/spreadsheetml/2009/9/main" objectType="Button" lockText="1"/>
</file>

<file path=xl/ctrlProps/ctrlProp271.xml><?xml version="1.0" encoding="utf-8"?>
<formControlPr xmlns="http://schemas.microsoft.com/office/spreadsheetml/2009/9/main" objectType="Button" lockText="1"/>
</file>

<file path=xl/ctrlProps/ctrlProp272.xml><?xml version="1.0" encoding="utf-8"?>
<formControlPr xmlns="http://schemas.microsoft.com/office/spreadsheetml/2009/9/main" objectType="Button" lockText="1"/>
</file>

<file path=xl/ctrlProps/ctrlProp273.xml><?xml version="1.0" encoding="utf-8"?>
<formControlPr xmlns="http://schemas.microsoft.com/office/spreadsheetml/2009/9/main" objectType="GBox" noThreeD="1"/>
</file>

<file path=xl/ctrlProps/ctrlProp274.xml><?xml version="1.0" encoding="utf-8"?>
<formControlPr xmlns="http://schemas.microsoft.com/office/spreadsheetml/2009/9/main" objectType="Radio" firstButton="1" lockText="1" noThreeD="1"/>
</file>

<file path=xl/ctrlProps/ctrlProp275.xml><?xml version="1.0" encoding="utf-8"?>
<formControlPr xmlns="http://schemas.microsoft.com/office/spreadsheetml/2009/9/main" objectType="Radio" checked="Checked" lockText="1" noThreeD="1"/>
</file>

<file path=xl/ctrlProps/ctrlProp276.xml><?xml version="1.0" encoding="utf-8"?>
<formControlPr xmlns="http://schemas.microsoft.com/office/spreadsheetml/2009/9/main" objectType="GBox" noThreeD="1"/>
</file>

<file path=xl/ctrlProps/ctrlProp277.xml><?xml version="1.0" encoding="utf-8"?>
<formControlPr xmlns="http://schemas.microsoft.com/office/spreadsheetml/2009/9/main" objectType="Radio" checked="Checked" firstButton="1" fmlaLink="AA1" lockText="1" noThreeD="1"/>
</file>

<file path=xl/ctrlProps/ctrlProp278.xml><?xml version="1.0" encoding="utf-8"?>
<formControlPr xmlns="http://schemas.microsoft.com/office/spreadsheetml/2009/9/main" objectType="Radio" lockText="1" noThreeD="1"/>
</file>

<file path=xl/ctrlProps/ctrlProp279.xml><?xml version="1.0" encoding="utf-8"?>
<formControlPr xmlns="http://schemas.microsoft.com/office/spreadsheetml/2009/9/main" objectType="CheckBox" fmlaLink="AB1" lockText="1" noThreeD="1"/>
</file>

<file path=xl/ctrlProps/ctrlProp280.xml><?xml version="1.0" encoding="utf-8"?>
<formControlPr xmlns="http://schemas.microsoft.com/office/spreadsheetml/2009/9/main" objectType="Label" lockText="1"/>
</file>

<file path=xl/ctrlProps/ctrlProp281.xml><?xml version="1.0" encoding="utf-8"?>
<formControlPr xmlns="http://schemas.microsoft.com/office/spreadsheetml/2009/9/main" objectType="GBox" noThreeD="1"/>
</file>

<file path=xl/ctrlProps/ctrlProp282.xml><?xml version="1.0" encoding="utf-8"?>
<formControlPr xmlns="http://schemas.microsoft.com/office/spreadsheetml/2009/9/main" objectType="Radio" firstButton="1" lockText="1" noThreeD="1"/>
</file>

<file path=xl/ctrlProps/ctrlProp283.xml><?xml version="1.0" encoding="utf-8"?>
<formControlPr xmlns="http://schemas.microsoft.com/office/spreadsheetml/2009/9/main" objectType="Radio" checked="Checked" lockText="1" noThreeD="1"/>
</file>

<file path=xl/ctrlProps/ctrlProp284.xml><?xml version="1.0" encoding="utf-8"?>
<formControlPr xmlns="http://schemas.microsoft.com/office/spreadsheetml/2009/9/main" objectType="CheckBox" checked="Checked"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Button" lockText="1"/>
</file>

<file path=xl/ctrlProps/ctrlProp288.xml><?xml version="1.0" encoding="utf-8"?>
<formControlPr xmlns="http://schemas.microsoft.com/office/spreadsheetml/2009/9/main" objectType="Button" lockText="1"/>
</file>

<file path=xl/ctrlProps/ctrlProp289.xml><?xml version="1.0" encoding="utf-8"?>
<formControlPr xmlns="http://schemas.microsoft.com/office/spreadsheetml/2009/9/main" objectType="Label" lockText="1"/>
</file>

<file path=xl/ctrlProps/ctrlProp290.xml><?xml version="1.0" encoding="utf-8"?>
<formControlPr xmlns="http://schemas.microsoft.com/office/spreadsheetml/2009/9/main" objectType="GBox" noThreeD="1"/>
</file>

<file path=xl/ctrlProps/ctrlProp291.xml><?xml version="1.0" encoding="utf-8"?>
<formControlPr xmlns="http://schemas.microsoft.com/office/spreadsheetml/2009/9/main" objectType="Radio" firstButton="1" lockText="1" noThreeD="1"/>
</file>

<file path=xl/ctrlProps/ctrlProp292.xml><?xml version="1.0" encoding="utf-8"?>
<formControlPr xmlns="http://schemas.microsoft.com/office/spreadsheetml/2009/9/main" objectType="Radio" checked="Checked" lockText="1" noThreeD="1"/>
</file>

<file path=xl/ctrlProps/ctrlProp293.xml><?xml version="1.0" encoding="utf-8"?>
<formControlPr xmlns="http://schemas.microsoft.com/office/spreadsheetml/2009/9/main" objectType="CheckBox" checked="Checked"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Button" lockText="1"/>
</file>

<file path=xl/ctrlProps/ctrlProp297.xml><?xml version="1.0" encoding="utf-8"?>
<formControlPr xmlns="http://schemas.microsoft.com/office/spreadsheetml/2009/9/main" objectType="Button" lockText="1"/>
</file>

<file path=xl/ctrlProps/ctrlProp298.xml><?xml version="1.0" encoding="utf-8"?>
<formControlPr xmlns="http://schemas.microsoft.com/office/spreadsheetml/2009/9/main" objectType="GBox" noThreeD="1"/>
</file>

<file path=xl/ctrlProps/ctrlProp299.xml><?xml version="1.0" encoding="utf-8"?>
<formControlPr xmlns="http://schemas.microsoft.com/office/spreadsheetml/2009/9/main" objectType="Radio" firstButton="1" lockText="1" noThreeD="1"/>
</file>

<file path=xl/ctrlProps/ctrlProp300.xml><?xml version="1.0" encoding="utf-8"?>
<formControlPr xmlns="http://schemas.microsoft.com/office/spreadsheetml/2009/9/main" objectType="Radio" checked="Checked"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checked="Checked"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checked="Checked" lockText="1" noThreeD="1"/>
</file>

<file path=xl/ctrlProps/ctrlProp307.xml><?xml version="1.0" encoding="utf-8"?>
<formControlPr xmlns="http://schemas.microsoft.com/office/spreadsheetml/2009/9/main" objectType="Button" lockText="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Button" lockText="1"/>
</file>

<file path=xl/ctrlProps/ctrlProp315.xml><?xml version="1.0" encoding="utf-8"?>
<formControlPr xmlns="http://schemas.microsoft.com/office/spreadsheetml/2009/9/main" objectType="GBox" noThreeD="1"/>
</file>

<file path=xl/ctrlProps/ctrlProp316.xml><?xml version="1.0" encoding="utf-8"?>
<formControlPr xmlns="http://schemas.microsoft.com/office/spreadsheetml/2009/9/main" objectType="Radio" firstButton="1" lockText="1" noThreeD="1"/>
</file>

<file path=xl/ctrlProps/ctrlProp317.xml><?xml version="1.0" encoding="utf-8"?>
<formControlPr xmlns="http://schemas.microsoft.com/office/spreadsheetml/2009/9/main" objectType="Radio" checked="Checked" lockText="1" noThreeD="1"/>
</file>

<file path=xl/ctrlProps/ctrlProp318.xml><?xml version="1.0" encoding="utf-8"?>
<formControlPr xmlns="http://schemas.microsoft.com/office/spreadsheetml/2009/9/main" objectType="CheckBox" checked="Checked" lockText="1" noThreeD="1"/>
</file>

<file path=xl/ctrlProps/ctrlProp319.xml><?xml version="1.0" encoding="utf-8"?>
<formControlPr xmlns="http://schemas.microsoft.com/office/spreadsheetml/2009/9/main" objectType="CheckBox" checked="Checked" lockText="1" noThreeD="1"/>
</file>

<file path=xl/ctrlProps/ctrlProp320.xml><?xml version="1.0" encoding="utf-8"?>
<formControlPr xmlns="http://schemas.microsoft.com/office/spreadsheetml/2009/9/main" objectType="CheckBox" checked="Checked" lockText="1" noThreeD="1"/>
</file>

<file path=xl/ctrlProps/ctrlProp321.xml><?xml version="1.0" encoding="utf-8"?>
<formControlPr xmlns="http://schemas.microsoft.com/office/spreadsheetml/2009/9/main" objectType="CheckBox" checked="Checked" lockText="1" noThreeD="1"/>
</file>

<file path=xl/ctrlProps/ctrlProp322.xml><?xml version="1.0" encoding="utf-8"?>
<formControlPr xmlns="http://schemas.microsoft.com/office/spreadsheetml/2009/9/main" objectType="CheckBox" checked="Checked" lockText="1" noThreeD="1"/>
</file>

<file path=xl/ctrlProps/ctrlProp323.xml><?xml version="1.0" encoding="utf-8"?>
<formControlPr xmlns="http://schemas.microsoft.com/office/spreadsheetml/2009/9/main" objectType="CheckBox" checked="Checked" lockText="1" noThreeD="1"/>
</file>

<file path=xl/ctrlProps/ctrlProp324.xml><?xml version="1.0" encoding="utf-8"?>
<formControlPr xmlns="http://schemas.microsoft.com/office/spreadsheetml/2009/9/main" objectType="Button" lockText="1"/>
</file>

<file path=xl/ctrlProps/ctrlProp325.xml><?xml version="1.0" encoding="utf-8"?>
<formControlPr xmlns="http://schemas.microsoft.com/office/spreadsheetml/2009/9/main" objectType="Button" lockText="1"/>
</file>

<file path=xl/ctrlProps/ctrlProp326.xml><?xml version="1.0" encoding="utf-8"?>
<formControlPr xmlns="http://schemas.microsoft.com/office/spreadsheetml/2009/9/main" objectType="Button" lockText="1"/>
</file>

<file path=xl/ctrlProps/ctrlProp327.xml><?xml version="1.0" encoding="utf-8"?>
<formControlPr xmlns="http://schemas.microsoft.com/office/spreadsheetml/2009/9/main" objectType="Button" lockText="1"/>
</file>

<file path=xl/ctrlProps/ctrlProp328.xml><?xml version="1.0" encoding="utf-8"?>
<formControlPr xmlns="http://schemas.microsoft.com/office/spreadsheetml/2009/9/main" objectType="Button" lockText="1"/>
</file>

<file path=xl/ctrlProps/ctrlProp329.xml><?xml version="1.0" encoding="utf-8"?>
<formControlPr xmlns="http://schemas.microsoft.com/office/spreadsheetml/2009/9/main" objectType="Button" lockText="1"/>
</file>

<file path=xl/ctrlProps/ctrlProp330.xml><?xml version="1.0" encoding="utf-8"?>
<formControlPr xmlns="http://schemas.microsoft.com/office/spreadsheetml/2009/9/main" objectType="Button" lockText="1"/>
</file>

<file path=xl/ctrlProps/ctrlProp331.xml><?xml version="1.0" encoding="utf-8"?>
<formControlPr xmlns="http://schemas.microsoft.com/office/spreadsheetml/2009/9/main" objectType="Button" lockText="1"/>
</file>

<file path=xl/ctrlProps/ctrlProp332.xml><?xml version="1.0" encoding="utf-8"?>
<formControlPr xmlns="http://schemas.microsoft.com/office/spreadsheetml/2009/9/main" objectType="Button" lockText="1"/>
</file>

<file path=xl/ctrlProps/ctrlProp333.xml><?xml version="1.0" encoding="utf-8"?>
<formControlPr xmlns="http://schemas.microsoft.com/office/spreadsheetml/2009/9/main" objectType="Button" lockText="1"/>
</file>

<file path=xl/ctrlProps/ctrlProp334.xml><?xml version="1.0" encoding="utf-8"?>
<formControlPr xmlns="http://schemas.microsoft.com/office/spreadsheetml/2009/9/main" objectType="Button" lockText="1"/>
</file>

<file path=xl/ctrlProps/ctrlProp335.xml><?xml version="1.0" encoding="utf-8"?>
<formControlPr xmlns="http://schemas.microsoft.com/office/spreadsheetml/2009/9/main" objectType="Button" lockText="1"/>
</file>

<file path=xl/ctrlProps/ctrlProp336.xml><?xml version="1.0" encoding="utf-8"?>
<formControlPr xmlns="http://schemas.microsoft.com/office/spreadsheetml/2009/9/main" objectType="Button" lockText="1"/>
</file>

<file path=xl/ctrlProps/ctrlProp337.xml><?xml version="1.0" encoding="utf-8"?>
<formControlPr xmlns="http://schemas.microsoft.com/office/spreadsheetml/2009/9/main" objectType="Button" lockText="1"/>
</file>

<file path=xl/ctrlProps/ctrlProp338.xml><?xml version="1.0" encoding="utf-8"?>
<formControlPr xmlns="http://schemas.microsoft.com/office/spreadsheetml/2009/9/main" objectType="Button" lockText="1"/>
</file>

<file path=xl/ctrlProps/ctrlProp339.xml><?xml version="1.0" encoding="utf-8"?>
<formControlPr xmlns="http://schemas.microsoft.com/office/spreadsheetml/2009/9/main" objectType="Button" lockText="1"/>
</file>

<file path=xl/ctrlProps/ctrlProp340.xml><?xml version="1.0" encoding="utf-8"?>
<formControlPr xmlns="http://schemas.microsoft.com/office/spreadsheetml/2009/9/main" objectType="Button" lockText="1"/>
</file>

<file path=xl/ctrlProps/ctrlProp341.xml><?xml version="1.0" encoding="utf-8"?>
<formControlPr xmlns="http://schemas.microsoft.com/office/spreadsheetml/2009/9/main" objectType="Button" lockText="1"/>
</file>

<file path=xl/ctrlProps/ctrlProp342.xml><?xml version="1.0" encoding="utf-8"?>
<formControlPr xmlns="http://schemas.microsoft.com/office/spreadsheetml/2009/9/main" objectType="Button" lockText="1"/>
</file>

<file path=xl/ctrlProps/ctrlProp343.xml><?xml version="1.0" encoding="utf-8"?>
<formControlPr xmlns="http://schemas.microsoft.com/office/spreadsheetml/2009/9/main" objectType="Button" lockText="1"/>
</file>

<file path=xl/ctrlProps/ctrlProp34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6.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1485900</xdr:colOff>
          <xdr:row>4</xdr:row>
          <xdr:rowOff>69850</xdr:rowOff>
        </xdr:from>
        <xdr:to>
          <xdr:col>7</xdr:col>
          <xdr:colOff>1612900</xdr:colOff>
          <xdr:row>5</xdr:row>
          <xdr:rowOff>0</xdr:rowOff>
        </xdr:to>
        <xdr:sp macro="" textlink="">
          <xdr:nvSpPr>
            <xdr:cNvPr id="8193" name="cbApplyLevelFormatting"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2800350</xdr:colOff>
          <xdr:row>6</xdr:row>
          <xdr:rowOff>0</xdr:rowOff>
        </xdr:to>
        <xdr:sp macro="" textlink="">
          <xdr:nvSpPr>
            <xdr:cNvPr id="8194" name="Group Box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xdr:row>
          <xdr:rowOff>57150</xdr:rowOff>
        </xdr:from>
        <xdr:to>
          <xdr:col>3</xdr:col>
          <xdr:colOff>2609850</xdr:colOff>
          <xdr:row>5</xdr:row>
          <xdr:rowOff>279400</xdr:rowOff>
        </xdr:to>
        <xdr:sp macro="" textlink="">
          <xdr:nvSpPr>
            <xdr:cNvPr id="8195" name="obLevelRowFirst" hidden="1">
              <a:extLst>
                <a:ext uri="{63B3BB69-23CF-44E3-9099-C40C66FF867C}">
                  <a14:compatExt spid="_x0000_s8195"/>
                </a:ext>
                <a:ext uri="{FF2B5EF4-FFF2-40B4-BE49-F238E27FC236}">
                  <a16:creationId xmlns:a16="http://schemas.microsoft.com/office/drawing/2014/main" id="{00000000-0008-0000-0000-000003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xdr:row>
          <xdr:rowOff>57150</xdr:rowOff>
        </xdr:from>
        <xdr:to>
          <xdr:col>3</xdr:col>
          <xdr:colOff>450850</xdr:colOff>
          <xdr:row>5</xdr:row>
          <xdr:rowOff>279400</xdr:rowOff>
        </xdr:to>
        <xdr:sp macro="" textlink="">
          <xdr:nvSpPr>
            <xdr:cNvPr id="8196" name="obLevelColumnFirst" hidden="1">
              <a:extLst>
                <a:ext uri="{63B3BB69-23CF-44E3-9099-C40C66FF867C}">
                  <a14:compatExt spid="_x0000_s8196"/>
                </a:ext>
                <a:ext uri="{FF2B5EF4-FFF2-40B4-BE49-F238E27FC236}">
                  <a16:creationId xmlns:a16="http://schemas.microsoft.com/office/drawing/2014/main" id="{00000000-0008-0000-0000-000004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2755900</xdr:colOff>
          <xdr:row>5</xdr:row>
          <xdr:rowOff>0</xdr:rowOff>
        </xdr:from>
        <xdr:to>
          <xdr:col>10</xdr:col>
          <xdr:colOff>171450</xdr:colOff>
          <xdr:row>6</xdr:row>
          <xdr:rowOff>0</xdr:rowOff>
        </xdr:to>
        <xdr:sp macro="" textlink="">
          <xdr:nvSpPr>
            <xdr:cNvPr id="8197" name="Group Box 5" hidden="1">
              <a:extLst>
                <a:ext uri="{63B3BB69-23CF-44E3-9099-C40C66FF867C}">
                  <a14:compatExt spid="_x0000_s8197"/>
                </a:ext>
                <a:ext uri="{FF2B5EF4-FFF2-40B4-BE49-F238E27FC236}">
                  <a16:creationId xmlns:a16="http://schemas.microsoft.com/office/drawing/2014/main" id="{00000000-0008-0000-0000-000005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4229100</xdr:colOff>
          <xdr:row>5</xdr:row>
          <xdr:rowOff>57150</xdr:rowOff>
        </xdr:from>
        <xdr:to>
          <xdr:col>6</xdr:col>
          <xdr:colOff>171450</xdr:colOff>
          <xdr:row>5</xdr:row>
          <xdr:rowOff>279400</xdr:rowOff>
        </xdr:to>
        <xdr:sp macro="" textlink="">
          <xdr:nvSpPr>
            <xdr:cNvPr id="8198" name="obRelativeLevelHierarchy" hidden="1">
              <a:extLst>
                <a:ext uri="{63B3BB69-23CF-44E3-9099-C40C66FF867C}">
                  <a14:compatExt spid="_x0000_s8198"/>
                </a:ext>
                <a:ext uri="{FF2B5EF4-FFF2-40B4-BE49-F238E27FC236}">
                  <a16:creationId xmlns:a16="http://schemas.microsoft.com/office/drawing/2014/main" id="{00000000-0008-0000-0000-000006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Relative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2774950</xdr:colOff>
          <xdr:row>5</xdr:row>
          <xdr:rowOff>57150</xdr:rowOff>
        </xdr:from>
        <xdr:to>
          <xdr:col>3</xdr:col>
          <xdr:colOff>4203700</xdr:colOff>
          <xdr:row>5</xdr:row>
          <xdr:rowOff>279400</xdr:rowOff>
        </xdr:to>
        <xdr:sp macro="" textlink="">
          <xdr:nvSpPr>
            <xdr:cNvPr id="8199" name="obDatabaseLevelHierarchy" hidden="1">
              <a:extLst>
                <a:ext uri="{63B3BB69-23CF-44E3-9099-C40C66FF867C}">
                  <a14:compatExt spid="_x0000_s8199"/>
                </a:ext>
                <a:ext uri="{FF2B5EF4-FFF2-40B4-BE49-F238E27FC236}">
                  <a16:creationId xmlns:a16="http://schemas.microsoft.com/office/drawing/2014/main" id="{00000000-0008-0000-0000-000007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Structure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0</xdr:rowOff>
        </xdr:from>
        <xdr:to>
          <xdr:col>11</xdr:col>
          <xdr:colOff>2419350</xdr:colOff>
          <xdr:row>5</xdr:row>
          <xdr:rowOff>323850</xdr:rowOff>
        </xdr:to>
        <xdr:sp macro="" textlink="">
          <xdr:nvSpPr>
            <xdr:cNvPr id="8200" name="cbApplyLevelFromTopToBottom" hidden="1">
              <a:extLst>
                <a:ext uri="{63B3BB69-23CF-44E3-9099-C40C66FF867C}">
                  <a14:compatExt spid="_x0000_s8200"/>
                </a:ext>
                <a:ext uri="{FF2B5EF4-FFF2-40B4-BE49-F238E27FC236}">
                  <a16:creationId xmlns:a16="http://schemas.microsoft.com/office/drawing/2014/main" id="{00000000-0008-0000-0000-000008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Start formatting from the lowest level displayed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19050</xdr:colOff>
          <xdr:row>6</xdr:row>
          <xdr:rowOff>133350</xdr:rowOff>
        </xdr:from>
        <xdr:to>
          <xdr:col>11</xdr:col>
          <xdr:colOff>1136650</xdr:colOff>
          <xdr:row>7</xdr:row>
          <xdr:rowOff>127000</xdr:rowOff>
        </xdr:to>
        <xdr:sp macro="" textlink="">
          <xdr:nvSpPr>
            <xdr:cNvPr id="8201" name="LVL1tbFormattingByLevel" hidden="1">
              <a:extLst>
                <a:ext uri="{63B3BB69-23CF-44E3-9099-C40C66FF867C}">
                  <a14:compatExt spid="_x0000_s8201"/>
                </a:ext>
                <a:ext uri="{FF2B5EF4-FFF2-40B4-BE49-F238E27FC236}">
                  <a16:creationId xmlns:a16="http://schemas.microsoft.com/office/drawing/2014/main" id="{00000000-0008-0000-0000-000009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6</xdr:row>
          <xdr:rowOff>0</xdr:rowOff>
        </xdr:from>
        <xdr:to>
          <xdr:col>12</xdr:col>
          <xdr:colOff>0</xdr:colOff>
          <xdr:row>8</xdr:row>
          <xdr:rowOff>0</xdr:rowOff>
        </xdr:to>
        <xdr:sp macro="" textlink="">
          <xdr:nvSpPr>
            <xdr:cNvPr id="8202" name="Group Box 10" hidden="1">
              <a:extLst>
                <a:ext uri="{63B3BB69-23CF-44E3-9099-C40C66FF867C}">
                  <a14:compatExt spid="_x0000_s8202"/>
                </a:ext>
                <a:ext uri="{FF2B5EF4-FFF2-40B4-BE49-F238E27FC236}">
                  <a16:creationId xmlns:a16="http://schemas.microsoft.com/office/drawing/2014/main" id="{00000000-0008-0000-0000-00000A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228600</xdr:rowOff>
        </xdr:from>
        <xdr:to>
          <xdr:col>11</xdr:col>
          <xdr:colOff>2108200</xdr:colOff>
          <xdr:row>7</xdr:row>
          <xdr:rowOff>152400</xdr:rowOff>
        </xdr:to>
        <xdr:sp macro="" textlink="">
          <xdr:nvSpPr>
            <xdr:cNvPr id="8203" name="obLevelOuterFirst" hidden="1">
              <a:extLst>
                <a:ext uri="{63B3BB69-23CF-44E3-9099-C40C66FF867C}">
                  <a14:compatExt spid="_x0000_s8203"/>
                </a:ext>
                <a:ext uri="{FF2B5EF4-FFF2-40B4-BE49-F238E27FC236}">
                  <a16:creationId xmlns:a16="http://schemas.microsoft.com/office/drawing/2014/main" id="{00000000-0008-0000-0000-00000B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19050</xdr:rowOff>
        </xdr:from>
        <xdr:to>
          <xdr:col>11</xdr:col>
          <xdr:colOff>2108200</xdr:colOff>
          <xdr:row>6</xdr:row>
          <xdr:rowOff>241300</xdr:rowOff>
        </xdr:to>
        <xdr:sp macro="" textlink="">
          <xdr:nvSpPr>
            <xdr:cNvPr id="8204" name="obLevelInnerFirst" hidden="1">
              <a:extLst>
                <a:ext uri="{63B3BB69-23CF-44E3-9099-C40C66FF867C}">
                  <a14:compatExt spid="_x0000_s8204"/>
                </a:ext>
                <a:ext uri="{FF2B5EF4-FFF2-40B4-BE49-F238E27FC236}">
                  <a16:creationId xmlns:a16="http://schemas.microsoft.com/office/drawing/2014/main" id="{00000000-0008-0000-0000-00000C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xdr:row>
          <xdr:rowOff>203200</xdr:rowOff>
        </xdr:from>
        <xdr:to>
          <xdr:col>2</xdr:col>
          <xdr:colOff>1022350</xdr:colOff>
          <xdr:row>11</xdr:row>
          <xdr:rowOff>38100</xdr:rowOff>
        </xdr:to>
        <xdr:sp macro="" textlink="">
          <xdr:nvSpPr>
            <xdr:cNvPr id="8205" name="cbUseDefaultLevelFirst" hidden="1">
              <a:extLst>
                <a:ext uri="{63B3BB69-23CF-44E3-9099-C40C66FF867C}">
                  <a14:compatExt spid="_x0000_s8205"/>
                </a:ext>
                <a:ext uri="{FF2B5EF4-FFF2-40B4-BE49-F238E27FC236}">
                  <a16:creationId xmlns:a16="http://schemas.microsoft.com/office/drawing/2014/main" id="{00000000-0008-0000-0000-00000D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xdr:row>
          <xdr:rowOff>0</xdr:rowOff>
        </xdr:from>
        <xdr:to>
          <xdr:col>2</xdr:col>
          <xdr:colOff>1022350</xdr:colOff>
          <xdr:row>14</xdr:row>
          <xdr:rowOff>38100</xdr:rowOff>
        </xdr:to>
        <xdr:sp macro="" textlink="">
          <xdr:nvSpPr>
            <xdr:cNvPr id="8206" name="cbUseLeafLevelFirst" hidden="1">
              <a:extLst>
                <a:ext uri="{63B3BB69-23CF-44E3-9099-C40C66FF867C}">
                  <a14:compatExt spid="_x0000_s8206"/>
                </a:ext>
                <a:ext uri="{FF2B5EF4-FFF2-40B4-BE49-F238E27FC236}">
                  <a16:creationId xmlns:a16="http://schemas.microsoft.com/office/drawing/2014/main" id="{00000000-0008-0000-0000-00000E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15</xdr:row>
          <xdr:rowOff>38100</xdr:rowOff>
        </xdr:from>
        <xdr:to>
          <xdr:col>2</xdr:col>
          <xdr:colOff>1022350</xdr:colOff>
          <xdr:row>16</xdr:row>
          <xdr:rowOff>114300</xdr:rowOff>
        </xdr:to>
        <xdr:sp macro="" textlink="">
          <xdr:nvSpPr>
            <xdr:cNvPr id="8207" name="cbUseSpecificLevelFirst" hidden="1">
              <a:extLst>
                <a:ext uri="{63B3BB69-23CF-44E3-9099-C40C66FF867C}">
                  <a14:compatExt spid="_x0000_s8207"/>
                </a:ext>
                <a:ext uri="{FF2B5EF4-FFF2-40B4-BE49-F238E27FC236}">
                  <a16:creationId xmlns:a16="http://schemas.microsoft.com/office/drawing/2014/main" id="{00000000-0008-0000-0000-00000F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25</xdr:row>
          <xdr:rowOff>31750</xdr:rowOff>
        </xdr:from>
        <xdr:to>
          <xdr:col>3</xdr:col>
          <xdr:colOff>2133600</xdr:colOff>
          <xdr:row>26</xdr:row>
          <xdr:rowOff>12700</xdr:rowOff>
        </xdr:to>
        <xdr:sp macro="" textlink="">
          <xdr:nvSpPr>
            <xdr:cNvPr id="8208" name="AddLevelFirst" hidden="1">
              <a:extLst>
                <a:ext uri="{63B3BB69-23CF-44E3-9099-C40C66FF867C}">
                  <a14:compatExt spid="_x0000_s8208"/>
                </a:ext>
                <a:ext uri="{FF2B5EF4-FFF2-40B4-BE49-F238E27FC236}">
                  <a16:creationId xmlns:a16="http://schemas.microsoft.com/office/drawing/2014/main" id="{00000000-0008-0000-0000-000010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2228850</xdr:colOff>
          <xdr:row>25</xdr:row>
          <xdr:rowOff>31750</xdr:rowOff>
        </xdr:from>
        <xdr:to>
          <xdr:col>3</xdr:col>
          <xdr:colOff>4298950</xdr:colOff>
          <xdr:row>26</xdr:row>
          <xdr:rowOff>12700</xdr:rowOff>
        </xdr:to>
        <xdr:sp macro="" textlink="">
          <xdr:nvSpPr>
            <xdr:cNvPr id="8209" name="RemoveLevelFirst" hidden="1">
              <a:extLst>
                <a:ext uri="{63B3BB69-23CF-44E3-9099-C40C66FF867C}">
                  <a14:compatExt spid="_x0000_s8209"/>
                </a:ext>
                <a:ext uri="{FF2B5EF4-FFF2-40B4-BE49-F238E27FC236}">
                  <a16:creationId xmlns:a16="http://schemas.microsoft.com/office/drawing/2014/main" id="{00000000-0008-0000-0000-00001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19050</xdr:colOff>
          <xdr:row>27</xdr:row>
          <xdr:rowOff>146050</xdr:rowOff>
        </xdr:from>
        <xdr:to>
          <xdr:col>11</xdr:col>
          <xdr:colOff>1136650</xdr:colOff>
          <xdr:row>28</xdr:row>
          <xdr:rowOff>133350</xdr:rowOff>
        </xdr:to>
        <xdr:sp macro="" textlink="">
          <xdr:nvSpPr>
            <xdr:cNvPr id="8210" name="LVL2tbFormattingByLevel" hidden="1">
              <a:extLst>
                <a:ext uri="{63B3BB69-23CF-44E3-9099-C40C66FF867C}">
                  <a14:compatExt spid="_x0000_s8210"/>
                </a:ext>
                <a:ext uri="{FF2B5EF4-FFF2-40B4-BE49-F238E27FC236}">
                  <a16:creationId xmlns:a16="http://schemas.microsoft.com/office/drawing/2014/main" id="{00000000-0008-0000-0000-000012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6</xdr:row>
          <xdr:rowOff>0</xdr:rowOff>
        </xdr:from>
        <xdr:to>
          <xdr:col>12</xdr:col>
          <xdr:colOff>0</xdr:colOff>
          <xdr:row>8</xdr:row>
          <xdr:rowOff>0</xdr:rowOff>
        </xdr:to>
        <xdr:sp macro="" textlink="">
          <xdr:nvSpPr>
            <xdr:cNvPr id="8211" name="Group Box 19" hidden="1">
              <a:extLst>
                <a:ext uri="{63B3BB69-23CF-44E3-9099-C40C66FF867C}">
                  <a14:compatExt spid="_x0000_s8211"/>
                </a:ext>
                <a:ext uri="{FF2B5EF4-FFF2-40B4-BE49-F238E27FC236}">
                  <a16:creationId xmlns:a16="http://schemas.microsoft.com/office/drawing/2014/main" id="{00000000-0008-0000-0000-000013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228600</xdr:rowOff>
        </xdr:from>
        <xdr:to>
          <xdr:col>11</xdr:col>
          <xdr:colOff>2108200</xdr:colOff>
          <xdr:row>28</xdr:row>
          <xdr:rowOff>171450</xdr:rowOff>
        </xdr:to>
        <xdr:sp macro="" textlink="">
          <xdr:nvSpPr>
            <xdr:cNvPr id="8212" name="obLevelOuterSecond" hidden="1">
              <a:extLst>
                <a:ext uri="{63B3BB69-23CF-44E3-9099-C40C66FF867C}">
                  <a14:compatExt spid="_x0000_s8212"/>
                </a:ext>
                <a:ext uri="{FF2B5EF4-FFF2-40B4-BE49-F238E27FC236}">
                  <a16:creationId xmlns:a16="http://schemas.microsoft.com/office/drawing/2014/main" id="{00000000-0008-0000-0000-000014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38100</xdr:rowOff>
        </xdr:from>
        <xdr:to>
          <xdr:col>11</xdr:col>
          <xdr:colOff>2108200</xdr:colOff>
          <xdr:row>27</xdr:row>
          <xdr:rowOff>247650</xdr:rowOff>
        </xdr:to>
        <xdr:sp macro="" textlink="">
          <xdr:nvSpPr>
            <xdr:cNvPr id="8213" name="obLevelInnerSecond" hidden="1">
              <a:extLst>
                <a:ext uri="{63B3BB69-23CF-44E3-9099-C40C66FF867C}">
                  <a14:compatExt spid="_x0000_s8213"/>
                </a:ext>
                <a:ext uri="{FF2B5EF4-FFF2-40B4-BE49-F238E27FC236}">
                  <a16:creationId xmlns:a16="http://schemas.microsoft.com/office/drawing/2014/main" id="{00000000-0008-0000-0000-000015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30</xdr:row>
          <xdr:rowOff>0</xdr:rowOff>
        </xdr:from>
        <xdr:to>
          <xdr:col>2</xdr:col>
          <xdr:colOff>1022350</xdr:colOff>
          <xdr:row>32</xdr:row>
          <xdr:rowOff>38100</xdr:rowOff>
        </xdr:to>
        <xdr:sp macro="" textlink="">
          <xdr:nvSpPr>
            <xdr:cNvPr id="8214" name="cbUseDefaultLevelSecond" hidden="1">
              <a:extLst>
                <a:ext uri="{63B3BB69-23CF-44E3-9099-C40C66FF867C}">
                  <a14:compatExt spid="_x0000_s8214"/>
                </a:ext>
                <a:ext uri="{FF2B5EF4-FFF2-40B4-BE49-F238E27FC236}">
                  <a16:creationId xmlns:a16="http://schemas.microsoft.com/office/drawing/2014/main" id="{00000000-0008-0000-0000-000016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33</xdr:row>
          <xdr:rowOff>0</xdr:rowOff>
        </xdr:from>
        <xdr:to>
          <xdr:col>2</xdr:col>
          <xdr:colOff>1022350</xdr:colOff>
          <xdr:row>35</xdr:row>
          <xdr:rowOff>38100</xdr:rowOff>
        </xdr:to>
        <xdr:sp macro="" textlink="">
          <xdr:nvSpPr>
            <xdr:cNvPr id="8215" name="cbUseLeafLevelSecond" hidden="1">
              <a:extLst>
                <a:ext uri="{63B3BB69-23CF-44E3-9099-C40C66FF867C}">
                  <a14:compatExt spid="_x0000_s8215"/>
                </a:ext>
                <a:ext uri="{FF2B5EF4-FFF2-40B4-BE49-F238E27FC236}">
                  <a16:creationId xmlns:a16="http://schemas.microsoft.com/office/drawing/2014/main" id="{00000000-0008-0000-0000-000017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36</xdr:row>
          <xdr:rowOff>38100</xdr:rowOff>
        </xdr:from>
        <xdr:to>
          <xdr:col>2</xdr:col>
          <xdr:colOff>1022350</xdr:colOff>
          <xdr:row>37</xdr:row>
          <xdr:rowOff>114300</xdr:rowOff>
        </xdr:to>
        <xdr:sp macro="" textlink="">
          <xdr:nvSpPr>
            <xdr:cNvPr id="8216" name="cbUseSpecificLevelSecond" hidden="1">
              <a:extLst>
                <a:ext uri="{63B3BB69-23CF-44E3-9099-C40C66FF867C}">
                  <a14:compatExt spid="_x0000_s8216"/>
                </a:ext>
                <a:ext uri="{FF2B5EF4-FFF2-40B4-BE49-F238E27FC236}">
                  <a16:creationId xmlns:a16="http://schemas.microsoft.com/office/drawing/2014/main" id="{00000000-0008-0000-0000-000018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46</xdr:row>
          <xdr:rowOff>19050</xdr:rowOff>
        </xdr:from>
        <xdr:to>
          <xdr:col>3</xdr:col>
          <xdr:colOff>2133600</xdr:colOff>
          <xdr:row>47</xdr:row>
          <xdr:rowOff>0</xdr:rowOff>
        </xdr:to>
        <xdr:sp macro="" textlink="">
          <xdr:nvSpPr>
            <xdr:cNvPr id="8217" name="AddLevelSecond" hidden="1">
              <a:extLst>
                <a:ext uri="{63B3BB69-23CF-44E3-9099-C40C66FF867C}">
                  <a14:compatExt spid="_x0000_s8217"/>
                </a:ext>
                <a:ext uri="{FF2B5EF4-FFF2-40B4-BE49-F238E27FC236}">
                  <a16:creationId xmlns:a16="http://schemas.microsoft.com/office/drawing/2014/main" id="{00000000-0008-0000-0000-000019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2228850</xdr:colOff>
          <xdr:row>46</xdr:row>
          <xdr:rowOff>19050</xdr:rowOff>
        </xdr:from>
        <xdr:to>
          <xdr:col>3</xdr:col>
          <xdr:colOff>4298950</xdr:colOff>
          <xdr:row>47</xdr:row>
          <xdr:rowOff>0</xdr:rowOff>
        </xdr:to>
        <xdr:sp macro="" textlink="">
          <xdr:nvSpPr>
            <xdr:cNvPr id="8218" name="RemoveLevelSecond" hidden="1">
              <a:extLst>
                <a:ext uri="{63B3BB69-23CF-44E3-9099-C40C66FF867C}">
                  <a14:compatExt spid="_x0000_s8218"/>
                </a:ext>
                <a:ext uri="{FF2B5EF4-FFF2-40B4-BE49-F238E27FC236}">
                  <a16:creationId xmlns:a16="http://schemas.microsoft.com/office/drawing/2014/main" id="{00000000-0008-0000-0000-00001A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51</xdr:row>
          <xdr:rowOff>69850</xdr:rowOff>
        </xdr:from>
        <xdr:to>
          <xdr:col>9</xdr:col>
          <xdr:colOff>609600</xdr:colOff>
          <xdr:row>52</xdr:row>
          <xdr:rowOff>0</xdr:rowOff>
        </xdr:to>
        <xdr:sp macro="" textlink="">
          <xdr:nvSpPr>
            <xdr:cNvPr id="8219" name="cbApplyMemberFormatting" hidden="1">
              <a:extLst>
                <a:ext uri="{63B3BB69-23CF-44E3-9099-C40C66FF867C}">
                  <a14:compatExt spid="_x0000_s8219"/>
                </a:ext>
                <a:ext uri="{FF2B5EF4-FFF2-40B4-BE49-F238E27FC236}">
                  <a16:creationId xmlns:a16="http://schemas.microsoft.com/office/drawing/2014/main" id="{00000000-0008-0000-00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12</xdr:col>
          <xdr:colOff>0</xdr:colOff>
          <xdr:row>53</xdr:row>
          <xdr:rowOff>0</xdr:rowOff>
        </xdr:to>
        <xdr:sp macro="" textlink="">
          <xdr:nvSpPr>
            <xdr:cNvPr id="8220" name="Group Box 28" hidden="1">
              <a:extLst>
                <a:ext uri="{63B3BB69-23CF-44E3-9099-C40C66FF867C}">
                  <a14:compatExt spid="_x0000_s8220"/>
                </a:ext>
                <a:ext uri="{FF2B5EF4-FFF2-40B4-BE49-F238E27FC236}">
                  <a16:creationId xmlns:a16="http://schemas.microsoft.com/office/drawing/2014/main" id="{00000000-0008-0000-0000-00001C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52</xdr:row>
          <xdr:rowOff>57150</xdr:rowOff>
        </xdr:from>
        <xdr:to>
          <xdr:col>3</xdr:col>
          <xdr:colOff>2609850</xdr:colOff>
          <xdr:row>52</xdr:row>
          <xdr:rowOff>279400</xdr:rowOff>
        </xdr:to>
        <xdr:sp macro="" textlink="">
          <xdr:nvSpPr>
            <xdr:cNvPr id="8221" name="obMemberRowFirst" hidden="1">
              <a:extLst>
                <a:ext uri="{63B3BB69-23CF-44E3-9099-C40C66FF867C}">
                  <a14:compatExt spid="_x0000_s8221"/>
                </a:ext>
                <a:ext uri="{FF2B5EF4-FFF2-40B4-BE49-F238E27FC236}">
                  <a16:creationId xmlns:a16="http://schemas.microsoft.com/office/drawing/2014/main" id="{00000000-0008-0000-0000-00001D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52</xdr:row>
          <xdr:rowOff>57150</xdr:rowOff>
        </xdr:from>
        <xdr:to>
          <xdr:col>3</xdr:col>
          <xdr:colOff>450850</xdr:colOff>
          <xdr:row>52</xdr:row>
          <xdr:rowOff>279400</xdr:rowOff>
        </xdr:to>
        <xdr:sp macro="" textlink="">
          <xdr:nvSpPr>
            <xdr:cNvPr id="8222" name="obMemberColumnFirst" hidden="1">
              <a:extLst>
                <a:ext uri="{63B3BB69-23CF-44E3-9099-C40C66FF867C}">
                  <a14:compatExt spid="_x0000_s8222"/>
                </a:ext>
                <a:ext uri="{FF2B5EF4-FFF2-40B4-BE49-F238E27FC236}">
                  <a16:creationId xmlns:a16="http://schemas.microsoft.com/office/drawing/2014/main" id="{00000000-0008-0000-0000-00001E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96</xdr:row>
          <xdr:rowOff>203200</xdr:rowOff>
        </xdr:from>
        <xdr:to>
          <xdr:col>2</xdr:col>
          <xdr:colOff>1022350</xdr:colOff>
          <xdr:row>99</xdr:row>
          <xdr:rowOff>38100</xdr:rowOff>
        </xdr:to>
        <xdr:sp macro="" textlink="">
          <xdr:nvSpPr>
            <xdr:cNvPr id="8223" name="cbApplyCustomMemberDefaultFirst" hidden="1">
              <a:extLst>
                <a:ext uri="{63B3BB69-23CF-44E3-9099-C40C66FF867C}">
                  <a14:compatExt spid="_x0000_s8223"/>
                </a:ext>
                <a:ext uri="{FF2B5EF4-FFF2-40B4-BE49-F238E27FC236}">
                  <a16:creationId xmlns:a16="http://schemas.microsoft.com/office/drawing/2014/main" id="{00000000-0008-0000-0000-00001F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99</xdr:row>
          <xdr:rowOff>50800</xdr:rowOff>
        </xdr:from>
        <xdr:to>
          <xdr:col>2</xdr:col>
          <xdr:colOff>1022350</xdr:colOff>
          <xdr:row>102</xdr:row>
          <xdr:rowOff>38100</xdr:rowOff>
        </xdr:to>
        <xdr:sp macro="" textlink="">
          <xdr:nvSpPr>
            <xdr:cNvPr id="8224" name="cbApplyCalculatedMemberFirst" hidden="1">
              <a:extLst>
                <a:ext uri="{63B3BB69-23CF-44E3-9099-C40C66FF867C}">
                  <a14:compatExt spid="_x0000_s8224"/>
                </a:ext>
                <a:ext uri="{FF2B5EF4-FFF2-40B4-BE49-F238E27FC236}">
                  <a16:creationId xmlns:a16="http://schemas.microsoft.com/office/drawing/2014/main" id="{00000000-0008-0000-0000-000020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103</xdr:row>
          <xdr:rowOff>0</xdr:rowOff>
        </xdr:from>
        <xdr:to>
          <xdr:col>2</xdr:col>
          <xdr:colOff>1022350</xdr:colOff>
          <xdr:row>105</xdr:row>
          <xdr:rowOff>38100</xdr:rowOff>
        </xdr:to>
        <xdr:sp macro="" textlink="">
          <xdr:nvSpPr>
            <xdr:cNvPr id="8225" name="cbApplyImputableMemberFirst" hidden="1">
              <a:extLst>
                <a:ext uri="{63B3BB69-23CF-44E3-9099-C40C66FF867C}">
                  <a14:compatExt spid="_x0000_s8225"/>
                </a:ext>
                <a:ext uri="{FF2B5EF4-FFF2-40B4-BE49-F238E27FC236}">
                  <a16:creationId xmlns:a16="http://schemas.microsoft.com/office/drawing/2014/main" id="{00000000-0008-0000-0000-000021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106</xdr:row>
          <xdr:rowOff>0</xdr:rowOff>
        </xdr:from>
        <xdr:to>
          <xdr:col>2</xdr:col>
          <xdr:colOff>1022350</xdr:colOff>
          <xdr:row>108</xdr:row>
          <xdr:rowOff>38100</xdr:rowOff>
        </xdr:to>
        <xdr:sp macro="" textlink="">
          <xdr:nvSpPr>
            <xdr:cNvPr id="8226" name="cbApplyLocalMemberFirst" hidden="1">
              <a:extLst>
                <a:ext uri="{63B3BB69-23CF-44E3-9099-C40C66FF867C}">
                  <a14:compatExt spid="_x0000_s8226"/>
                </a:ext>
                <a:ext uri="{FF2B5EF4-FFF2-40B4-BE49-F238E27FC236}">
                  <a16:creationId xmlns:a16="http://schemas.microsoft.com/office/drawing/2014/main" id="{00000000-0008-0000-0000-000022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109</xdr:row>
          <xdr:rowOff>0</xdr:rowOff>
        </xdr:from>
        <xdr:to>
          <xdr:col>2</xdr:col>
          <xdr:colOff>1022350</xdr:colOff>
          <xdr:row>111</xdr:row>
          <xdr:rowOff>38100</xdr:rowOff>
        </xdr:to>
        <xdr:sp macro="" textlink="">
          <xdr:nvSpPr>
            <xdr:cNvPr id="8227" name="cbApplyChangedMemberFirst" hidden="1">
              <a:extLst>
                <a:ext uri="{63B3BB69-23CF-44E3-9099-C40C66FF867C}">
                  <a14:compatExt spid="_x0000_s8227"/>
                </a:ext>
                <a:ext uri="{FF2B5EF4-FFF2-40B4-BE49-F238E27FC236}">
                  <a16:creationId xmlns:a16="http://schemas.microsoft.com/office/drawing/2014/main" id="{00000000-0008-0000-0000-000023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112</xdr:row>
          <xdr:rowOff>50800</xdr:rowOff>
        </xdr:from>
        <xdr:to>
          <xdr:col>2</xdr:col>
          <xdr:colOff>1022350</xdr:colOff>
          <xdr:row>114</xdr:row>
          <xdr:rowOff>0</xdr:rowOff>
        </xdr:to>
        <xdr:sp macro="" textlink="">
          <xdr:nvSpPr>
            <xdr:cNvPr id="8228" name="cbApplySpecificMemberFirst" hidden="1">
              <a:extLst>
                <a:ext uri="{63B3BB69-23CF-44E3-9099-C40C66FF867C}">
                  <a14:compatExt spid="_x0000_s8228"/>
                </a:ext>
                <a:ext uri="{FF2B5EF4-FFF2-40B4-BE49-F238E27FC236}">
                  <a16:creationId xmlns:a16="http://schemas.microsoft.com/office/drawing/2014/main" id="{00000000-0008-0000-0000-000024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117</xdr:row>
          <xdr:rowOff>19050</xdr:rowOff>
        </xdr:from>
        <xdr:to>
          <xdr:col>3</xdr:col>
          <xdr:colOff>4298950</xdr:colOff>
          <xdr:row>117</xdr:row>
          <xdr:rowOff>266700</xdr:rowOff>
        </xdr:to>
        <xdr:sp macro="" textlink="">
          <xdr:nvSpPr>
            <xdr:cNvPr id="8229" name="AddMemberFirst" hidden="1">
              <a:extLst>
                <a:ext uri="{63B3BB69-23CF-44E3-9099-C40C66FF867C}">
                  <a14:compatExt spid="_x0000_s8229"/>
                </a:ext>
                <a:ext uri="{FF2B5EF4-FFF2-40B4-BE49-F238E27FC236}">
                  <a16:creationId xmlns:a16="http://schemas.microsoft.com/office/drawing/2014/main" id="{00000000-0008-0000-0000-000025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55</xdr:row>
          <xdr:rowOff>0</xdr:rowOff>
        </xdr:from>
        <xdr:to>
          <xdr:col>2</xdr:col>
          <xdr:colOff>1022350</xdr:colOff>
          <xdr:row>57</xdr:row>
          <xdr:rowOff>38100</xdr:rowOff>
        </xdr:to>
        <xdr:sp macro="" textlink="">
          <xdr:nvSpPr>
            <xdr:cNvPr id="8230" name="cbApplyCustomMemberDefaultSecond" hidden="1">
              <a:extLst>
                <a:ext uri="{63B3BB69-23CF-44E3-9099-C40C66FF867C}">
                  <a14:compatExt spid="_x0000_s8230"/>
                </a:ext>
                <a:ext uri="{FF2B5EF4-FFF2-40B4-BE49-F238E27FC236}">
                  <a16:creationId xmlns:a16="http://schemas.microsoft.com/office/drawing/2014/main" id="{00000000-0008-0000-0000-000026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57</xdr:row>
          <xdr:rowOff>50800</xdr:rowOff>
        </xdr:from>
        <xdr:to>
          <xdr:col>2</xdr:col>
          <xdr:colOff>1022350</xdr:colOff>
          <xdr:row>60</xdr:row>
          <xdr:rowOff>50800</xdr:rowOff>
        </xdr:to>
        <xdr:sp macro="" textlink="">
          <xdr:nvSpPr>
            <xdr:cNvPr id="8231" name="cbApplyCalculatedMemberSecond" hidden="1">
              <a:extLst>
                <a:ext uri="{63B3BB69-23CF-44E3-9099-C40C66FF867C}">
                  <a14:compatExt spid="_x0000_s8231"/>
                </a:ext>
                <a:ext uri="{FF2B5EF4-FFF2-40B4-BE49-F238E27FC236}">
                  <a16:creationId xmlns:a16="http://schemas.microsoft.com/office/drawing/2014/main" id="{00000000-0008-0000-0000-000027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61</xdr:row>
          <xdr:rowOff>0</xdr:rowOff>
        </xdr:from>
        <xdr:to>
          <xdr:col>2</xdr:col>
          <xdr:colOff>1022350</xdr:colOff>
          <xdr:row>63</xdr:row>
          <xdr:rowOff>38100</xdr:rowOff>
        </xdr:to>
        <xdr:sp macro="" textlink="">
          <xdr:nvSpPr>
            <xdr:cNvPr id="8232" name="cbApplyImputableMemberSecond" hidden="1">
              <a:extLst>
                <a:ext uri="{63B3BB69-23CF-44E3-9099-C40C66FF867C}">
                  <a14:compatExt spid="_x0000_s8232"/>
                </a:ext>
                <a:ext uri="{FF2B5EF4-FFF2-40B4-BE49-F238E27FC236}">
                  <a16:creationId xmlns:a16="http://schemas.microsoft.com/office/drawing/2014/main" id="{00000000-0008-0000-0000-000028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64</xdr:row>
          <xdr:rowOff>0</xdr:rowOff>
        </xdr:from>
        <xdr:to>
          <xdr:col>2</xdr:col>
          <xdr:colOff>1022350</xdr:colOff>
          <xdr:row>66</xdr:row>
          <xdr:rowOff>38100</xdr:rowOff>
        </xdr:to>
        <xdr:sp macro="" textlink="">
          <xdr:nvSpPr>
            <xdr:cNvPr id="8233" name="cbApplyLocalMemberSecond" hidden="1">
              <a:extLst>
                <a:ext uri="{63B3BB69-23CF-44E3-9099-C40C66FF867C}">
                  <a14:compatExt spid="_x0000_s8233"/>
                </a:ext>
                <a:ext uri="{FF2B5EF4-FFF2-40B4-BE49-F238E27FC236}">
                  <a16:creationId xmlns:a16="http://schemas.microsoft.com/office/drawing/2014/main" id="{00000000-0008-0000-0000-000029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67</xdr:row>
          <xdr:rowOff>0</xdr:rowOff>
        </xdr:from>
        <xdr:to>
          <xdr:col>2</xdr:col>
          <xdr:colOff>1022350</xdr:colOff>
          <xdr:row>69</xdr:row>
          <xdr:rowOff>38100</xdr:rowOff>
        </xdr:to>
        <xdr:sp macro="" textlink="">
          <xdr:nvSpPr>
            <xdr:cNvPr id="8234" name="cbApplyChangedMemberSecond" hidden="1">
              <a:extLst>
                <a:ext uri="{63B3BB69-23CF-44E3-9099-C40C66FF867C}">
                  <a14:compatExt spid="_x0000_s8234"/>
                </a:ext>
                <a:ext uri="{FF2B5EF4-FFF2-40B4-BE49-F238E27FC236}">
                  <a16:creationId xmlns:a16="http://schemas.microsoft.com/office/drawing/2014/main" id="{00000000-0008-0000-0000-00002A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70</xdr:row>
          <xdr:rowOff>50800</xdr:rowOff>
        </xdr:from>
        <xdr:to>
          <xdr:col>2</xdr:col>
          <xdr:colOff>1022350</xdr:colOff>
          <xdr:row>72</xdr:row>
          <xdr:rowOff>0</xdr:rowOff>
        </xdr:to>
        <xdr:sp macro="" textlink="">
          <xdr:nvSpPr>
            <xdr:cNvPr id="8235" name="cbApplySpecificMemberSecond" hidden="1">
              <a:extLst>
                <a:ext uri="{63B3BB69-23CF-44E3-9099-C40C66FF867C}">
                  <a14:compatExt spid="_x0000_s8235"/>
                </a:ext>
                <a:ext uri="{FF2B5EF4-FFF2-40B4-BE49-F238E27FC236}">
                  <a16:creationId xmlns:a16="http://schemas.microsoft.com/office/drawing/2014/main" id="{00000000-0008-0000-0000-00002B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93</xdr:row>
          <xdr:rowOff>19050</xdr:rowOff>
        </xdr:from>
        <xdr:to>
          <xdr:col>3</xdr:col>
          <xdr:colOff>4298950</xdr:colOff>
          <xdr:row>93</xdr:row>
          <xdr:rowOff>266700</xdr:rowOff>
        </xdr:to>
        <xdr:sp macro="" textlink="">
          <xdr:nvSpPr>
            <xdr:cNvPr id="8236" name="AddMemberSecond" hidden="1">
              <a:extLst>
                <a:ext uri="{63B3BB69-23CF-44E3-9099-C40C66FF867C}">
                  <a14:compatExt spid="_x0000_s8236"/>
                </a:ext>
                <a:ext uri="{FF2B5EF4-FFF2-40B4-BE49-F238E27FC236}">
                  <a16:creationId xmlns:a16="http://schemas.microsoft.com/office/drawing/2014/main" id="{00000000-0008-0000-0000-00002C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1676400</xdr:colOff>
          <xdr:row>121</xdr:row>
          <xdr:rowOff>69850</xdr:rowOff>
        </xdr:from>
        <xdr:to>
          <xdr:col>7</xdr:col>
          <xdr:colOff>1803400</xdr:colOff>
          <xdr:row>122</xdr:row>
          <xdr:rowOff>0</xdr:rowOff>
        </xdr:to>
        <xdr:sp macro="" textlink="">
          <xdr:nvSpPr>
            <xdr:cNvPr id="8237" name="cbApplyOddEvenFormatting" hidden="1">
              <a:extLst>
                <a:ext uri="{63B3BB69-23CF-44E3-9099-C40C66FF867C}">
                  <a14:compatExt spid="_x0000_s8237"/>
                </a:ext>
                <a:ext uri="{FF2B5EF4-FFF2-40B4-BE49-F238E27FC236}">
                  <a16:creationId xmlns:a16="http://schemas.microsoft.com/office/drawing/2014/main" id="{00000000-0008-0000-00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xdr:row>
          <xdr:rowOff>0</xdr:rowOff>
        </xdr:from>
        <xdr:to>
          <xdr:col>12</xdr:col>
          <xdr:colOff>0</xdr:colOff>
          <xdr:row>123</xdr:row>
          <xdr:rowOff>0</xdr:rowOff>
        </xdr:to>
        <xdr:sp macro="" textlink="">
          <xdr:nvSpPr>
            <xdr:cNvPr id="8238" name="Group Box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122</xdr:row>
          <xdr:rowOff>69850</xdr:rowOff>
        </xdr:from>
        <xdr:to>
          <xdr:col>3</xdr:col>
          <xdr:colOff>2609850</xdr:colOff>
          <xdr:row>122</xdr:row>
          <xdr:rowOff>279400</xdr:rowOff>
        </xdr:to>
        <xdr:sp macro="" textlink="">
          <xdr:nvSpPr>
            <xdr:cNvPr id="8239" name="obOddEvenRowFirst" hidden="1">
              <a:extLst>
                <a:ext uri="{63B3BB69-23CF-44E3-9099-C40C66FF867C}">
                  <a14:compatExt spid="_x0000_s8239"/>
                </a:ext>
                <a:ext uri="{FF2B5EF4-FFF2-40B4-BE49-F238E27FC236}">
                  <a16:creationId xmlns:a16="http://schemas.microsoft.com/office/drawing/2014/main" id="{00000000-0008-0000-0000-00002F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122</xdr:row>
          <xdr:rowOff>69850</xdr:rowOff>
        </xdr:from>
        <xdr:to>
          <xdr:col>3</xdr:col>
          <xdr:colOff>450850</xdr:colOff>
          <xdr:row>122</xdr:row>
          <xdr:rowOff>279400</xdr:rowOff>
        </xdr:to>
        <xdr:sp macro="" textlink="">
          <xdr:nvSpPr>
            <xdr:cNvPr id="8240" name="obOddEvenColumnFirst" hidden="1">
              <a:extLst>
                <a:ext uri="{63B3BB69-23CF-44E3-9099-C40C66FF867C}">
                  <a14:compatExt spid="_x0000_s8240"/>
                </a:ext>
                <a:ext uri="{FF2B5EF4-FFF2-40B4-BE49-F238E27FC236}">
                  <a16:creationId xmlns:a16="http://schemas.microsoft.com/office/drawing/2014/main" id="{00000000-0008-0000-0000-000030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125</xdr:row>
          <xdr:rowOff>0</xdr:rowOff>
        </xdr:from>
        <xdr:to>
          <xdr:col>2</xdr:col>
          <xdr:colOff>1022350</xdr:colOff>
          <xdr:row>127</xdr:row>
          <xdr:rowOff>38100</xdr:rowOff>
        </xdr:to>
        <xdr:sp macro="" textlink="">
          <xdr:nvSpPr>
            <xdr:cNvPr id="8241" name="cbUseOddFirst" hidden="1">
              <a:extLst>
                <a:ext uri="{63B3BB69-23CF-44E3-9099-C40C66FF867C}">
                  <a14:compatExt spid="_x0000_s8241"/>
                </a:ext>
                <a:ext uri="{FF2B5EF4-FFF2-40B4-BE49-F238E27FC236}">
                  <a16:creationId xmlns:a16="http://schemas.microsoft.com/office/drawing/2014/main" id="{00000000-0008-0000-0000-000031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128</xdr:row>
          <xdr:rowOff>0</xdr:rowOff>
        </xdr:from>
        <xdr:to>
          <xdr:col>2</xdr:col>
          <xdr:colOff>1022350</xdr:colOff>
          <xdr:row>130</xdr:row>
          <xdr:rowOff>38100</xdr:rowOff>
        </xdr:to>
        <xdr:sp macro="" textlink="">
          <xdr:nvSpPr>
            <xdr:cNvPr id="8242" name="cbUseEvenFirst" hidden="1">
              <a:extLst>
                <a:ext uri="{63B3BB69-23CF-44E3-9099-C40C66FF867C}">
                  <a14:compatExt spid="_x0000_s8242"/>
                </a:ext>
                <a:ext uri="{FF2B5EF4-FFF2-40B4-BE49-F238E27FC236}">
                  <a16:creationId xmlns:a16="http://schemas.microsoft.com/office/drawing/2014/main" id="{00000000-0008-0000-0000-000032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133</xdr:row>
          <xdr:rowOff>0</xdr:rowOff>
        </xdr:from>
        <xdr:to>
          <xdr:col>2</xdr:col>
          <xdr:colOff>1022350</xdr:colOff>
          <xdr:row>135</xdr:row>
          <xdr:rowOff>38100</xdr:rowOff>
        </xdr:to>
        <xdr:sp macro="" textlink="">
          <xdr:nvSpPr>
            <xdr:cNvPr id="8243" name="cbUseOddSecond" hidden="1">
              <a:extLst>
                <a:ext uri="{63B3BB69-23CF-44E3-9099-C40C66FF867C}">
                  <a14:compatExt spid="_x0000_s8243"/>
                </a:ext>
                <a:ext uri="{FF2B5EF4-FFF2-40B4-BE49-F238E27FC236}">
                  <a16:creationId xmlns:a16="http://schemas.microsoft.com/office/drawing/2014/main" id="{00000000-0008-0000-0000-000033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135</xdr:row>
          <xdr:rowOff>50800</xdr:rowOff>
        </xdr:from>
        <xdr:to>
          <xdr:col>2</xdr:col>
          <xdr:colOff>1022350</xdr:colOff>
          <xdr:row>138</xdr:row>
          <xdr:rowOff>38100</xdr:rowOff>
        </xdr:to>
        <xdr:sp macro="" textlink="">
          <xdr:nvSpPr>
            <xdr:cNvPr id="8244" name="cbUseEvenSecond" hidden="1">
              <a:extLst>
                <a:ext uri="{63B3BB69-23CF-44E3-9099-C40C66FF867C}">
                  <a14:compatExt spid="_x0000_s8244"/>
                </a:ext>
                <a:ext uri="{FF2B5EF4-FFF2-40B4-BE49-F238E27FC236}">
                  <a16:creationId xmlns:a16="http://schemas.microsoft.com/office/drawing/2014/main" id="{00000000-0008-0000-0000-000034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1524000</xdr:colOff>
          <xdr:row>141</xdr:row>
          <xdr:rowOff>69850</xdr:rowOff>
        </xdr:from>
        <xdr:to>
          <xdr:col>7</xdr:col>
          <xdr:colOff>1651000</xdr:colOff>
          <xdr:row>142</xdr:row>
          <xdr:rowOff>0</xdr:rowOff>
        </xdr:to>
        <xdr:sp macro="" textlink="">
          <xdr:nvSpPr>
            <xdr:cNvPr id="8245" name="cbApplyPageHeaderFormatting" hidden="1">
              <a:extLst>
                <a:ext uri="{63B3BB69-23CF-44E3-9099-C40C66FF867C}">
                  <a14:compatExt spid="_x0000_s8245"/>
                </a:ext>
                <a:ext uri="{FF2B5EF4-FFF2-40B4-BE49-F238E27FC236}">
                  <a16:creationId xmlns:a16="http://schemas.microsoft.com/office/drawing/2014/main" id="{00000000-0008-0000-00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143</xdr:row>
          <xdr:rowOff>203200</xdr:rowOff>
        </xdr:from>
        <xdr:to>
          <xdr:col>2</xdr:col>
          <xdr:colOff>1022350</xdr:colOff>
          <xdr:row>146</xdr:row>
          <xdr:rowOff>38100</xdr:rowOff>
        </xdr:to>
        <xdr:sp macro="" textlink="">
          <xdr:nvSpPr>
            <xdr:cNvPr id="8246" name="cbUseDefaultPageHeaderFormat" hidden="1">
              <a:extLst>
                <a:ext uri="{63B3BB69-23CF-44E3-9099-C40C66FF867C}">
                  <a14:compatExt spid="_x0000_s8246"/>
                </a:ext>
                <a:ext uri="{FF2B5EF4-FFF2-40B4-BE49-F238E27FC236}">
                  <a16:creationId xmlns:a16="http://schemas.microsoft.com/office/drawing/2014/main" id="{00000000-0008-0000-0000-000036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147</xdr:row>
          <xdr:rowOff>0</xdr:rowOff>
        </xdr:from>
        <xdr:to>
          <xdr:col>2</xdr:col>
          <xdr:colOff>1022350</xdr:colOff>
          <xdr:row>148</xdr:row>
          <xdr:rowOff>171450</xdr:rowOff>
        </xdr:to>
        <xdr:sp macro="" textlink="">
          <xdr:nvSpPr>
            <xdr:cNvPr id="8247" name="cbUseDimensionFormatting" hidden="1">
              <a:extLst>
                <a:ext uri="{63B3BB69-23CF-44E3-9099-C40C66FF867C}">
                  <a14:compatExt spid="_x0000_s8247"/>
                </a:ext>
                <a:ext uri="{FF2B5EF4-FFF2-40B4-BE49-F238E27FC236}">
                  <a16:creationId xmlns:a16="http://schemas.microsoft.com/office/drawing/2014/main" id="{00000000-0008-0000-0000-0000372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149</xdr:row>
          <xdr:rowOff>19050</xdr:rowOff>
        </xdr:from>
        <xdr:to>
          <xdr:col>3</xdr:col>
          <xdr:colOff>4298950</xdr:colOff>
          <xdr:row>150</xdr:row>
          <xdr:rowOff>0</xdr:rowOff>
        </xdr:to>
        <xdr:sp macro="" textlink="">
          <xdr:nvSpPr>
            <xdr:cNvPr id="8248" name="AddDimension" hidden="1">
              <a:extLst>
                <a:ext uri="{63B3BB69-23CF-44E3-9099-C40C66FF867C}">
                  <a14:compatExt spid="_x0000_s8248"/>
                </a:ext>
                <a:ext uri="{FF2B5EF4-FFF2-40B4-BE49-F238E27FC236}">
                  <a16:creationId xmlns:a16="http://schemas.microsoft.com/office/drawing/2014/main" id="{00000000-0008-0000-0000-000038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Dimension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0</xdr:rowOff>
        </xdr:from>
        <xdr:to>
          <xdr:col>12</xdr:col>
          <xdr:colOff>685800</xdr:colOff>
          <xdr:row>74</xdr:row>
          <xdr:rowOff>0</xdr:rowOff>
        </xdr:to>
        <xdr:sp macro="" textlink="">
          <xdr:nvSpPr>
            <xdr:cNvPr id="8250" name="AddedMember2_1" hidden="1">
              <a:extLst>
                <a:ext uri="{63B3BB69-23CF-44E3-9099-C40C66FF867C}">
                  <a14:compatExt spid="_x0000_s8250"/>
                </a:ext>
                <a:ext uri="{FF2B5EF4-FFF2-40B4-BE49-F238E27FC236}">
                  <a16:creationId xmlns:a16="http://schemas.microsoft.com/office/drawing/2014/main" id="{00000000-0008-0000-0000-00003A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73</xdr:row>
          <xdr:rowOff>0</xdr:rowOff>
        </xdr:from>
        <xdr:to>
          <xdr:col>13</xdr:col>
          <xdr:colOff>679450</xdr:colOff>
          <xdr:row>74</xdr:row>
          <xdr:rowOff>0</xdr:rowOff>
        </xdr:to>
        <xdr:sp macro="" textlink="">
          <xdr:nvSpPr>
            <xdr:cNvPr id="8251" name="ChangeMember2_1" hidden="1">
              <a:extLst>
                <a:ext uri="{63B3BB69-23CF-44E3-9099-C40C66FF867C}">
                  <a14:compatExt spid="_x0000_s8251"/>
                </a:ext>
                <a:ext uri="{FF2B5EF4-FFF2-40B4-BE49-F238E27FC236}">
                  <a16:creationId xmlns:a16="http://schemas.microsoft.com/office/drawing/2014/main" id="{00000000-0008-0000-0000-00003B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73</xdr:row>
          <xdr:rowOff>0</xdr:rowOff>
        </xdr:from>
        <xdr:to>
          <xdr:col>14</xdr:col>
          <xdr:colOff>685800</xdr:colOff>
          <xdr:row>74</xdr:row>
          <xdr:rowOff>0</xdr:rowOff>
        </xdr:to>
        <xdr:sp macro="" textlink="">
          <xdr:nvSpPr>
            <xdr:cNvPr id="8252" name="UpMember2_1" hidden="1">
              <a:extLst>
                <a:ext uri="{63B3BB69-23CF-44E3-9099-C40C66FF867C}">
                  <a14:compatExt spid="_x0000_s8252"/>
                </a:ext>
                <a:ext uri="{FF2B5EF4-FFF2-40B4-BE49-F238E27FC236}">
                  <a16:creationId xmlns:a16="http://schemas.microsoft.com/office/drawing/2014/main" id="{00000000-0008-0000-0000-00003C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73</xdr:row>
          <xdr:rowOff>0</xdr:rowOff>
        </xdr:from>
        <xdr:to>
          <xdr:col>15</xdr:col>
          <xdr:colOff>685800</xdr:colOff>
          <xdr:row>74</xdr:row>
          <xdr:rowOff>0</xdr:rowOff>
        </xdr:to>
        <xdr:sp macro="" textlink="">
          <xdr:nvSpPr>
            <xdr:cNvPr id="8253" name="DownMember2_1" hidden="1">
              <a:extLst>
                <a:ext uri="{63B3BB69-23CF-44E3-9099-C40C66FF867C}">
                  <a14:compatExt spid="_x0000_s8253"/>
                </a:ext>
                <a:ext uri="{FF2B5EF4-FFF2-40B4-BE49-F238E27FC236}">
                  <a16:creationId xmlns:a16="http://schemas.microsoft.com/office/drawing/2014/main" id="{00000000-0008-0000-0000-00003D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76</xdr:row>
          <xdr:rowOff>0</xdr:rowOff>
        </xdr:from>
        <xdr:to>
          <xdr:col>12</xdr:col>
          <xdr:colOff>685800</xdr:colOff>
          <xdr:row>77</xdr:row>
          <xdr:rowOff>0</xdr:rowOff>
        </xdr:to>
        <xdr:sp macro="" textlink="">
          <xdr:nvSpPr>
            <xdr:cNvPr id="8255" name="AddedMember2_2" hidden="1">
              <a:extLst>
                <a:ext uri="{63B3BB69-23CF-44E3-9099-C40C66FF867C}">
                  <a14:compatExt spid="_x0000_s8255"/>
                </a:ext>
                <a:ext uri="{FF2B5EF4-FFF2-40B4-BE49-F238E27FC236}">
                  <a16:creationId xmlns:a16="http://schemas.microsoft.com/office/drawing/2014/main" id="{00000000-0008-0000-0000-00003F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76</xdr:row>
          <xdr:rowOff>0</xdr:rowOff>
        </xdr:from>
        <xdr:to>
          <xdr:col>13</xdr:col>
          <xdr:colOff>679450</xdr:colOff>
          <xdr:row>77</xdr:row>
          <xdr:rowOff>0</xdr:rowOff>
        </xdr:to>
        <xdr:sp macro="" textlink="">
          <xdr:nvSpPr>
            <xdr:cNvPr id="8256" name="ChangeMember2_2" hidden="1">
              <a:extLst>
                <a:ext uri="{63B3BB69-23CF-44E3-9099-C40C66FF867C}">
                  <a14:compatExt spid="_x0000_s8256"/>
                </a:ext>
                <a:ext uri="{FF2B5EF4-FFF2-40B4-BE49-F238E27FC236}">
                  <a16:creationId xmlns:a16="http://schemas.microsoft.com/office/drawing/2014/main" id="{00000000-0008-0000-0000-000040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76</xdr:row>
          <xdr:rowOff>0</xdr:rowOff>
        </xdr:from>
        <xdr:to>
          <xdr:col>14</xdr:col>
          <xdr:colOff>685800</xdr:colOff>
          <xdr:row>77</xdr:row>
          <xdr:rowOff>0</xdr:rowOff>
        </xdr:to>
        <xdr:sp macro="" textlink="">
          <xdr:nvSpPr>
            <xdr:cNvPr id="8257" name="UpMember2_2" hidden="1">
              <a:extLst>
                <a:ext uri="{63B3BB69-23CF-44E3-9099-C40C66FF867C}">
                  <a14:compatExt spid="_x0000_s8257"/>
                </a:ext>
                <a:ext uri="{FF2B5EF4-FFF2-40B4-BE49-F238E27FC236}">
                  <a16:creationId xmlns:a16="http://schemas.microsoft.com/office/drawing/2014/main" id="{00000000-0008-0000-0000-00004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76</xdr:row>
          <xdr:rowOff>0</xdr:rowOff>
        </xdr:from>
        <xdr:to>
          <xdr:col>15</xdr:col>
          <xdr:colOff>685800</xdr:colOff>
          <xdr:row>77</xdr:row>
          <xdr:rowOff>0</xdr:rowOff>
        </xdr:to>
        <xdr:sp macro="" textlink="">
          <xdr:nvSpPr>
            <xdr:cNvPr id="8258" name="DownMember2_2" hidden="1">
              <a:extLst>
                <a:ext uri="{63B3BB69-23CF-44E3-9099-C40C66FF867C}">
                  <a14:compatExt spid="_x0000_s8258"/>
                </a:ext>
                <a:ext uri="{FF2B5EF4-FFF2-40B4-BE49-F238E27FC236}">
                  <a16:creationId xmlns:a16="http://schemas.microsoft.com/office/drawing/2014/main" id="{00000000-0008-0000-0000-000042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78</xdr:row>
          <xdr:rowOff>50800</xdr:rowOff>
        </xdr:from>
        <xdr:to>
          <xdr:col>12</xdr:col>
          <xdr:colOff>685800</xdr:colOff>
          <xdr:row>79</xdr:row>
          <xdr:rowOff>190500</xdr:rowOff>
        </xdr:to>
        <xdr:sp macro="" textlink="">
          <xdr:nvSpPr>
            <xdr:cNvPr id="8260" name="AddedMember2_3" hidden="1">
              <a:extLst>
                <a:ext uri="{63B3BB69-23CF-44E3-9099-C40C66FF867C}">
                  <a14:compatExt spid="_x0000_s8260"/>
                </a:ext>
                <a:ext uri="{FF2B5EF4-FFF2-40B4-BE49-F238E27FC236}">
                  <a16:creationId xmlns:a16="http://schemas.microsoft.com/office/drawing/2014/main" id="{00000000-0008-0000-0000-000044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78</xdr:row>
          <xdr:rowOff>50800</xdr:rowOff>
        </xdr:from>
        <xdr:to>
          <xdr:col>13</xdr:col>
          <xdr:colOff>679450</xdr:colOff>
          <xdr:row>79</xdr:row>
          <xdr:rowOff>190500</xdr:rowOff>
        </xdr:to>
        <xdr:sp macro="" textlink="">
          <xdr:nvSpPr>
            <xdr:cNvPr id="8261" name="ChangeMember2_3" hidden="1">
              <a:extLst>
                <a:ext uri="{63B3BB69-23CF-44E3-9099-C40C66FF867C}">
                  <a14:compatExt spid="_x0000_s8261"/>
                </a:ext>
                <a:ext uri="{FF2B5EF4-FFF2-40B4-BE49-F238E27FC236}">
                  <a16:creationId xmlns:a16="http://schemas.microsoft.com/office/drawing/2014/main" id="{00000000-0008-0000-0000-000045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78</xdr:row>
          <xdr:rowOff>50800</xdr:rowOff>
        </xdr:from>
        <xdr:to>
          <xdr:col>14</xdr:col>
          <xdr:colOff>685800</xdr:colOff>
          <xdr:row>79</xdr:row>
          <xdr:rowOff>190500</xdr:rowOff>
        </xdr:to>
        <xdr:sp macro="" textlink="">
          <xdr:nvSpPr>
            <xdr:cNvPr id="8262" name="UpMember2_3" hidden="1">
              <a:extLst>
                <a:ext uri="{63B3BB69-23CF-44E3-9099-C40C66FF867C}">
                  <a14:compatExt spid="_x0000_s8262"/>
                </a:ext>
                <a:ext uri="{FF2B5EF4-FFF2-40B4-BE49-F238E27FC236}">
                  <a16:creationId xmlns:a16="http://schemas.microsoft.com/office/drawing/2014/main" id="{00000000-0008-0000-0000-000046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78</xdr:row>
          <xdr:rowOff>50800</xdr:rowOff>
        </xdr:from>
        <xdr:to>
          <xdr:col>15</xdr:col>
          <xdr:colOff>685800</xdr:colOff>
          <xdr:row>79</xdr:row>
          <xdr:rowOff>190500</xdr:rowOff>
        </xdr:to>
        <xdr:sp macro="" textlink="">
          <xdr:nvSpPr>
            <xdr:cNvPr id="8263" name="DownMember2_3" hidden="1">
              <a:extLst>
                <a:ext uri="{63B3BB69-23CF-44E3-9099-C40C66FF867C}">
                  <a14:compatExt spid="_x0000_s8263"/>
                </a:ext>
                <a:ext uri="{FF2B5EF4-FFF2-40B4-BE49-F238E27FC236}">
                  <a16:creationId xmlns:a16="http://schemas.microsoft.com/office/drawing/2014/main" id="{00000000-0008-0000-0000-000047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81</xdr:row>
          <xdr:rowOff>50800</xdr:rowOff>
        </xdr:from>
        <xdr:to>
          <xdr:col>12</xdr:col>
          <xdr:colOff>685800</xdr:colOff>
          <xdr:row>82</xdr:row>
          <xdr:rowOff>190500</xdr:rowOff>
        </xdr:to>
        <xdr:sp macro="" textlink="">
          <xdr:nvSpPr>
            <xdr:cNvPr id="8265" name="AddedMember2_4" hidden="1">
              <a:extLst>
                <a:ext uri="{63B3BB69-23CF-44E3-9099-C40C66FF867C}">
                  <a14:compatExt spid="_x0000_s8265"/>
                </a:ext>
                <a:ext uri="{FF2B5EF4-FFF2-40B4-BE49-F238E27FC236}">
                  <a16:creationId xmlns:a16="http://schemas.microsoft.com/office/drawing/2014/main" id="{00000000-0008-0000-0000-000049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81</xdr:row>
          <xdr:rowOff>50800</xdr:rowOff>
        </xdr:from>
        <xdr:to>
          <xdr:col>13</xdr:col>
          <xdr:colOff>679450</xdr:colOff>
          <xdr:row>82</xdr:row>
          <xdr:rowOff>190500</xdr:rowOff>
        </xdr:to>
        <xdr:sp macro="" textlink="">
          <xdr:nvSpPr>
            <xdr:cNvPr id="8266" name="ChangeMember2_4" hidden="1">
              <a:extLst>
                <a:ext uri="{63B3BB69-23CF-44E3-9099-C40C66FF867C}">
                  <a14:compatExt spid="_x0000_s8266"/>
                </a:ext>
                <a:ext uri="{FF2B5EF4-FFF2-40B4-BE49-F238E27FC236}">
                  <a16:creationId xmlns:a16="http://schemas.microsoft.com/office/drawing/2014/main" id="{00000000-0008-0000-0000-00004A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81</xdr:row>
          <xdr:rowOff>50800</xdr:rowOff>
        </xdr:from>
        <xdr:to>
          <xdr:col>14</xdr:col>
          <xdr:colOff>685800</xdr:colOff>
          <xdr:row>82</xdr:row>
          <xdr:rowOff>190500</xdr:rowOff>
        </xdr:to>
        <xdr:sp macro="" textlink="">
          <xdr:nvSpPr>
            <xdr:cNvPr id="8267" name="UpMember2_4" hidden="1">
              <a:extLst>
                <a:ext uri="{63B3BB69-23CF-44E3-9099-C40C66FF867C}">
                  <a14:compatExt spid="_x0000_s8267"/>
                </a:ext>
                <a:ext uri="{FF2B5EF4-FFF2-40B4-BE49-F238E27FC236}">
                  <a16:creationId xmlns:a16="http://schemas.microsoft.com/office/drawing/2014/main" id="{00000000-0008-0000-0000-00004B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81</xdr:row>
          <xdr:rowOff>50800</xdr:rowOff>
        </xdr:from>
        <xdr:to>
          <xdr:col>15</xdr:col>
          <xdr:colOff>685800</xdr:colOff>
          <xdr:row>82</xdr:row>
          <xdr:rowOff>190500</xdr:rowOff>
        </xdr:to>
        <xdr:sp macro="" textlink="">
          <xdr:nvSpPr>
            <xdr:cNvPr id="8268" name="DownMember2_4" hidden="1">
              <a:extLst>
                <a:ext uri="{63B3BB69-23CF-44E3-9099-C40C66FF867C}">
                  <a14:compatExt spid="_x0000_s8268"/>
                </a:ext>
                <a:ext uri="{FF2B5EF4-FFF2-40B4-BE49-F238E27FC236}">
                  <a16:creationId xmlns:a16="http://schemas.microsoft.com/office/drawing/2014/main" id="{00000000-0008-0000-0000-00004C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84</xdr:row>
          <xdr:rowOff>50800</xdr:rowOff>
        </xdr:from>
        <xdr:to>
          <xdr:col>12</xdr:col>
          <xdr:colOff>685800</xdr:colOff>
          <xdr:row>86</xdr:row>
          <xdr:rowOff>0</xdr:rowOff>
        </xdr:to>
        <xdr:sp macro="" textlink="">
          <xdr:nvSpPr>
            <xdr:cNvPr id="8270" name="AddedMember2_5" hidden="1">
              <a:extLst>
                <a:ext uri="{63B3BB69-23CF-44E3-9099-C40C66FF867C}">
                  <a14:compatExt spid="_x0000_s8270"/>
                </a:ext>
                <a:ext uri="{FF2B5EF4-FFF2-40B4-BE49-F238E27FC236}">
                  <a16:creationId xmlns:a16="http://schemas.microsoft.com/office/drawing/2014/main" id="{00000000-0008-0000-0000-00004E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84</xdr:row>
          <xdr:rowOff>50800</xdr:rowOff>
        </xdr:from>
        <xdr:to>
          <xdr:col>13</xdr:col>
          <xdr:colOff>679450</xdr:colOff>
          <xdr:row>86</xdr:row>
          <xdr:rowOff>0</xdr:rowOff>
        </xdr:to>
        <xdr:sp macro="" textlink="">
          <xdr:nvSpPr>
            <xdr:cNvPr id="8271" name="ChangeMember2_5" hidden="1">
              <a:extLst>
                <a:ext uri="{63B3BB69-23CF-44E3-9099-C40C66FF867C}">
                  <a14:compatExt spid="_x0000_s8271"/>
                </a:ext>
                <a:ext uri="{FF2B5EF4-FFF2-40B4-BE49-F238E27FC236}">
                  <a16:creationId xmlns:a16="http://schemas.microsoft.com/office/drawing/2014/main" id="{00000000-0008-0000-0000-00004F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84</xdr:row>
          <xdr:rowOff>50800</xdr:rowOff>
        </xdr:from>
        <xdr:to>
          <xdr:col>14</xdr:col>
          <xdr:colOff>685800</xdr:colOff>
          <xdr:row>86</xdr:row>
          <xdr:rowOff>0</xdr:rowOff>
        </xdr:to>
        <xdr:sp macro="" textlink="">
          <xdr:nvSpPr>
            <xdr:cNvPr id="8272" name="UpMember2_5" hidden="1">
              <a:extLst>
                <a:ext uri="{63B3BB69-23CF-44E3-9099-C40C66FF867C}">
                  <a14:compatExt spid="_x0000_s8272"/>
                </a:ext>
                <a:ext uri="{FF2B5EF4-FFF2-40B4-BE49-F238E27FC236}">
                  <a16:creationId xmlns:a16="http://schemas.microsoft.com/office/drawing/2014/main" id="{00000000-0008-0000-0000-000050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84</xdr:row>
          <xdr:rowOff>50800</xdr:rowOff>
        </xdr:from>
        <xdr:to>
          <xdr:col>15</xdr:col>
          <xdr:colOff>685800</xdr:colOff>
          <xdr:row>86</xdr:row>
          <xdr:rowOff>0</xdr:rowOff>
        </xdr:to>
        <xdr:sp macro="" textlink="">
          <xdr:nvSpPr>
            <xdr:cNvPr id="8273" name="DownMember2_5" hidden="1">
              <a:extLst>
                <a:ext uri="{63B3BB69-23CF-44E3-9099-C40C66FF867C}">
                  <a14:compatExt spid="_x0000_s8273"/>
                </a:ext>
                <a:ext uri="{FF2B5EF4-FFF2-40B4-BE49-F238E27FC236}">
                  <a16:creationId xmlns:a16="http://schemas.microsoft.com/office/drawing/2014/main" id="{00000000-0008-0000-0000-00005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115</xdr:row>
          <xdr:rowOff>0</xdr:rowOff>
        </xdr:from>
        <xdr:to>
          <xdr:col>12</xdr:col>
          <xdr:colOff>685800</xdr:colOff>
          <xdr:row>116</xdr:row>
          <xdr:rowOff>0</xdr:rowOff>
        </xdr:to>
        <xdr:sp macro="" textlink="">
          <xdr:nvSpPr>
            <xdr:cNvPr id="8275" name="AddedMember1_1" hidden="1">
              <a:extLst>
                <a:ext uri="{63B3BB69-23CF-44E3-9099-C40C66FF867C}">
                  <a14:compatExt spid="_x0000_s8275"/>
                </a:ext>
                <a:ext uri="{FF2B5EF4-FFF2-40B4-BE49-F238E27FC236}">
                  <a16:creationId xmlns:a16="http://schemas.microsoft.com/office/drawing/2014/main" id="{00000000-0008-0000-0000-000053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115</xdr:row>
          <xdr:rowOff>0</xdr:rowOff>
        </xdr:from>
        <xdr:to>
          <xdr:col>13</xdr:col>
          <xdr:colOff>679450</xdr:colOff>
          <xdr:row>116</xdr:row>
          <xdr:rowOff>0</xdr:rowOff>
        </xdr:to>
        <xdr:sp macro="" textlink="">
          <xdr:nvSpPr>
            <xdr:cNvPr id="8276" name="ChangeMember1_1" hidden="1">
              <a:extLst>
                <a:ext uri="{63B3BB69-23CF-44E3-9099-C40C66FF867C}">
                  <a14:compatExt spid="_x0000_s8276"/>
                </a:ext>
                <a:ext uri="{FF2B5EF4-FFF2-40B4-BE49-F238E27FC236}">
                  <a16:creationId xmlns:a16="http://schemas.microsoft.com/office/drawing/2014/main" id="{00000000-0008-0000-0000-000054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115</xdr:row>
          <xdr:rowOff>0</xdr:rowOff>
        </xdr:from>
        <xdr:to>
          <xdr:col>14</xdr:col>
          <xdr:colOff>685800</xdr:colOff>
          <xdr:row>116</xdr:row>
          <xdr:rowOff>0</xdr:rowOff>
        </xdr:to>
        <xdr:sp macro="" textlink="">
          <xdr:nvSpPr>
            <xdr:cNvPr id="8277" name="UpMember1_1" hidden="1">
              <a:extLst>
                <a:ext uri="{63B3BB69-23CF-44E3-9099-C40C66FF867C}">
                  <a14:compatExt spid="_x0000_s8277"/>
                </a:ext>
                <a:ext uri="{FF2B5EF4-FFF2-40B4-BE49-F238E27FC236}">
                  <a16:creationId xmlns:a16="http://schemas.microsoft.com/office/drawing/2014/main" id="{00000000-0008-0000-0000-000055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115</xdr:row>
          <xdr:rowOff>0</xdr:rowOff>
        </xdr:from>
        <xdr:to>
          <xdr:col>15</xdr:col>
          <xdr:colOff>685800</xdr:colOff>
          <xdr:row>116</xdr:row>
          <xdr:rowOff>0</xdr:rowOff>
        </xdr:to>
        <xdr:sp macro="" textlink="">
          <xdr:nvSpPr>
            <xdr:cNvPr id="8278" name="DownMember1_1" hidden="1">
              <a:extLst>
                <a:ext uri="{63B3BB69-23CF-44E3-9099-C40C66FF867C}">
                  <a14:compatExt spid="_x0000_s8278"/>
                </a:ext>
                <a:ext uri="{FF2B5EF4-FFF2-40B4-BE49-F238E27FC236}">
                  <a16:creationId xmlns:a16="http://schemas.microsoft.com/office/drawing/2014/main" id="{00000000-0008-0000-0000-000056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88</xdr:row>
          <xdr:rowOff>0</xdr:rowOff>
        </xdr:from>
        <xdr:to>
          <xdr:col>12</xdr:col>
          <xdr:colOff>685800</xdr:colOff>
          <xdr:row>89</xdr:row>
          <xdr:rowOff>0</xdr:rowOff>
        </xdr:to>
        <xdr:sp macro="" textlink="">
          <xdr:nvSpPr>
            <xdr:cNvPr id="8282" name="AddedMember2_6" hidden="1">
              <a:extLst>
                <a:ext uri="{63B3BB69-23CF-44E3-9099-C40C66FF867C}">
                  <a14:compatExt spid="_x0000_s8282"/>
                </a:ext>
                <a:ext uri="{FF2B5EF4-FFF2-40B4-BE49-F238E27FC236}">
                  <a16:creationId xmlns:a16="http://schemas.microsoft.com/office/drawing/2014/main" id="{00000000-0008-0000-0000-00005A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88</xdr:row>
          <xdr:rowOff>0</xdr:rowOff>
        </xdr:from>
        <xdr:to>
          <xdr:col>13</xdr:col>
          <xdr:colOff>679450</xdr:colOff>
          <xdr:row>89</xdr:row>
          <xdr:rowOff>0</xdr:rowOff>
        </xdr:to>
        <xdr:sp macro="" textlink="">
          <xdr:nvSpPr>
            <xdr:cNvPr id="8283" name="ChangeMember2_6" hidden="1">
              <a:extLst>
                <a:ext uri="{63B3BB69-23CF-44E3-9099-C40C66FF867C}">
                  <a14:compatExt spid="_x0000_s8283"/>
                </a:ext>
                <a:ext uri="{FF2B5EF4-FFF2-40B4-BE49-F238E27FC236}">
                  <a16:creationId xmlns:a16="http://schemas.microsoft.com/office/drawing/2014/main" id="{00000000-0008-0000-0000-00005B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88</xdr:row>
          <xdr:rowOff>0</xdr:rowOff>
        </xdr:from>
        <xdr:to>
          <xdr:col>14</xdr:col>
          <xdr:colOff>685800</xdr:colOff>
          <xdr:row>89</xdr:row>
          <xdr:rowOff>0</xdr:rowOff>
        </xdr:to>
        <xdr:sp macro="" textlink="">
          <xdr:nvSpPr>
            <xdr:cNvPr id="8284" name="UpMember2_6" hidden="1">
              <a:extLst>
                <a:ext uri="{63B3BB69-23CF-44E3-9099-C40C66FF867C}">
                  <a14:compatExt spid="_x0000_s8284"/>
                </a:ext>
                <a:ext uri="{FF2B5EF4-FFF2-40B4-BE49-F238E27FC236}">
                  <a16:creationId xmlns:a16="http://schemas.microsoft.com/office/drawing/2014/main" id="{00000000-0008-0000-0000-00005C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88</xdr:row>
          <xdr:rowOff>0</xdr:rowOff>
        </xdr:from>
        <xdr:to>
          <xdr:col>15</xdr:col>
          <xdr:colOff>685800</xdr:colOff>
          <xdr:row>89</xdr:row>
          <xdr:rowOff>0</xdr:rowOff>
        </xdr:to>
        <xdr:sp macro="" textlink="">
          <xdr:nvSpPr>
            <xdr:cNvPr id="8285" name="DownMember2_6" hidden="1">
              <a:extLst>
                <a:ext uri="{63B3BB69-23CF-44E3-9099-C40C66FF867C}">
                  <a14:compatExt spid="_x0000_s8285"/>
                </a:ext>
                <a:ext uri="{FF2B5EF4-FFF2-40B4-BE49-F238E27FC236}">
                  <a16:creationId xmlns:a16="http://schemas.microsoft.com/office/drawing/2014/main" id="{00000000-0008-0000-0000-00005D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91</xdr:row>
          <xdr:rowOff>0</xdr:rowOff>
        </xdr:from>
        <xdr:to>
          <xdr:col>12</xdr:col>
          <xdr:colOff>685800</xdr:colOff>
          <xdr:row>92</xdr:row>
          <xdr:rowOff>0</xdr:rowOff>
        </xdr:to>
        <xdr:sp macro="" textlink="">
          <xdr:nvSpPr>
            <xdr:cNvPr id="8287" name="AddedMember2_7" hidden="1">
              <a:extLst>
                <a:ext uri="{63B3BB69-23CF-44E3-9099-C40C66FF867C}">
                  <a14:compatExt spid="_x0000_s8287"/>
                </a:ext>
                <a:ext uri="{FF2B5EF4-FFF2-40B4-BE49-F238E27FC236}">
                  <a16:creationId xmlns:a16="http://schemas.microsoft.com/office/drawing/2014/main" id="{00000000-0008-0000-0000-00005F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91</xdr:row>
          <xdr:rowOff>0</xdr:rowOff>
        </xdr:from>
        <xdr:to>
          <xdr:col>13</xdr:col>
          <xdr:colOff>679450</xdr:colOff>
          <xdr:row>92</xdr:row>
          <xdr:rowOff>0</xdr:rowOff>
        </xdr:to>
        <xdr:sp macro="" textlink="">
          <xdr:nvSpPr>
            <xdr:cNvPr id="8288" name="ChangeMember2_7" hidden="1">
              <a:extLst>
                <a:ext uri="{63B3BB69-23CF-44E3-9099-C40C66FF867C}">
                  <a14:compatExt spid="_x0000_s8288"/>
                </a:ext>
                <a:ext uri="{FF2B5EF4-FFF2-40B4-BE49-F238E27FC236}">
                  <a16:creationId xmlns:a16="http://schemas.microsoft.com/office/drawing/2014/main" id="{00000000-0008-0000-0000-000060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91</xdr:row>
          <xdr:rowOff>0</xdr:rowOff>
        </xdr:from>
        <xdr:to>
          <xdr:col>14</xdr:col>
          <xdr:colOff>685800</xdr:colOff>
          <xdr:row>92</xdr:row>
          <xdr:rowOff>0</xdr:rowOff>
        </xdr:to>
        <xdr:sp macro="" textlink="">
          <xdr:nvSpPr>
            <xdr:cNvPr id="8289" name="UpMember2_7" hidden="1">
              <a:extLst>
                <a:ext uri="{63B3BB69-23CF-44E3-9099-C40C66FF867C}">
                  <a14:compatExt spid="_x0000_s8289"/>
                </a:ext>
                <a:ext uri="{FF2B5EF4-FFF2-40B4-BE49-F238E27FC236}">
                  <a16:creationId xmlns:a16="http://schemas.microsoft.com/office/drawing/2014/main" id="{00000000-0008-0000-0000-00006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91</xdr:row>
          <xdr:rowOff>0</xdr:rowOff>
        </xdr:from>
        <xdr:to>
          <xdr:col>15</xdr:col>
          <xdr:colOff>685800</xdr:colOff>
          <xdr:row>92</xdr:row>
          <xdr:rowOff>0</xdr:rowOff>
        </xdr:to>
        <xdr:sp macro="" textlink="">
          <xdr:nvSpPr>
            <xdr:cNvPr id="8290" name="DownMember2_7" hidden="1">
              <a:extLst>
                <a:ext uri="{63B3BB69-23CF-44E3-9099-C40C66FF867C}">
                  <a14:compatExt spid="_x0000_s8290"/>
                </a:ext>
                <a:ext uri="{FF2B5EF4-FFF2-40B4-BE49-F238E27FC236}">
                  <a16:creationId xmlns:a16="http://schemas.microsoft.com/office/drawing/2014/main" id="{00000000-0008-0000-0000-000062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1485900</xdr:colOff>
          <xdr:row>4</xdr:row>
          <xdr:rowOff>69850</xdr:rowOff>
        </xdr:from>
        <xdr:to>
          <xdr:col>7</xdr:col>
          <xdr:colOff>1612900</xdr:colOff>
          <xdr:row>4</xdr:row>
          <xdr:rowOff>342900</xdr:rowOff>
        </xdr:to>
        <xdr:sp macro="" textlink="">
          <xdr:nvSpPr>
            <xdr:cNvPr id="16385" name="cbApplyLevelFormatting"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2724150</xdr:colOff>
          <xdr:row>6</xdr:row>
          <xdr:rowOff>0</xdr:rowOff>
        </xdr:to>
        <xdr:sp macro="" textlink="">
          <xdr:nvSpPr>
            <xdr:cNvPr id="16386" name="Group Box 2" hidden="1">
              <a:extLst>
                <a:ext uri="{63B3BB69-23CF-44E3-9099-C40C66FF867C}">
                  <a14:compatExt spid="_x0000_s16386"/>
                </a:ext>
                <a:ext uri="{FF2B5EF4-FFF2-40B4-BE49-F238E27FC236}">
                  <a16:creationId xmlns:a16="http://schemas.microsoft.com/office/drawing/2014/main" id="{00000000-0008-0000-0100-000002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5</xdr:row>
          <xdr:rowOff>69850</xdr:rowOff>
        </xdr:from>
        <xdr:to>
          <xdr:col>3</xdr:col>
          <xdr:colOff>2533650</xdr:colOff>
          <xdr:row>5</xdr:row>
          <xdr:rowOff>298450</xdr:rowOff>
        </xdr:to>
        <xdr:sp macro="" textlink="">
          <xdr:nvSpPr>
            <xdr:cNvPr id="16387" name="obLevelRowFirst" hidden="1">
              <a:extLst>
                <a:ext uri="{63B3BB69-23CF-44E3-9099-C40C66FF867C}">
                  <a14:compatExt spid="_x0000_s16387"/>
                </a:ext>
                <a:ext uri="{FF2B5EF4-FFF2-40B4-BE49-F238E27FC236}">
                  <a16:creationId xmlns:a16="http://schemas.microsoft.com/office/drawing/2014/main" id="{00000000-0008-0000-0100-000003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5</xdr:row>
          <xdr:rowOff>69850</xdr:rowOff>
        </xdr:from>
        <xdr:to>
          <xdr:col>3</xdr:col>
          <xdr:colOff>374650</xdr:colOff>
          <xdr:row>5</xdr:row>
          <xdr:rowOff>298450</xdr:rowOff>
        </xdr:to>
        <xdr:sp macro="" textlink="">
          <xdr:nvSpPr>
            <xdr:cNvPr id="16388" name="obLevelColumnFirst" hidden="1">
              <a:extLst>
                <a:ext uri="{63B3BB69-23CF-44E3-9099-C40C66FF867C}">
                  <a14:compatExt spid="_x0000_s16388"/>
                </a:ext>
                <a:ext uri="{FF2B5EF4-FFF2-40B4-BE49-F238E27FC236}">
                  <a16:creationId xmlns:a16="http://schemas.microsoft.com/office/drawing/2014/main" id="{00000000-0008-0000-0100-000004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2679700</xdr:colOff>
          <xdr:row>5</xdr:row>
          <xdr:rowOff>0</xdr:rowOff>
        </xdr:from>
        <xdr:to>
          <xdr:col>9</xdr:col>
          <xdr:colOff>717550</xdr:colOff>
          <xdr:row>6</xdr:row>
          <xdr:rowOff>0</xdr:rowOff>
        </xdr:to>
        <xdr:sp macro="" textlink="">
          <xdr:nvSpPr>
            <xdr:cNvPr id="16389" name="Group Box 5" hidden="1">
              <a:extLst>
                <a:ext uri="{63B3BB69-23CF-44E3-9099-C40C66FF867C}">
                  <a14:compatExt spid="_x0000_s16389"/>
                </a:ext>
                <a:ext uri="{FF2B5EF4-FFF2-40B4-BE49-F238E27FC236}">
                  <a16:creationId xmlns:a16="http://schemas.microsoft.com/office/drawing/2014/main" id="{00000000-0008-0000-0100-000005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4146550</xdr:colOff>
          <xdr:row>5</xdr:row>
          <xdr:rowOff>69850</xdr:rowOff>
        </xdr:from>
        <xdr:to>
          <xdr:col>5</xdr:col>
          <xdr:colOff>850900</xdr:colOff>
          <xdr:row>5</xdr:row>
          <xdr:rowOff>298450</xdr:rowOff>
        </xdr:to>
        <xdr:sp macro="" textlink="">
          <xdr:nvSpPr>
            <xdr:cNvPr id="16390" name="obRelativeLevelHierarchy" hidden="1">
              <a:extLst>
                <a:ext uri="{63B3BB69-23CF-44E3-9099-C40C66FF867C}">
                  <a14:compatExt spid="_x0000_s16390"/>
                </a:ext>
                <a:ext uri="{FF2B5EF4-FFF2-40B4-BE49-F238E27FC236}">
                  <a16:creationId xmlns:a16="http://schemas.microsoft.com/office/drawing/2014/main" id="{00000000-0008-0000-0100-000006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Relative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2698750</xdr:colOff>
          <xdr:row>5</xdr:row>
          <xdr:rowOff>69850</xdr:rowOff>
        </xdr:from>
        <xdr:to>
          <xdr:col>3</xdr:col>
          <xdr:colOff>4127500</xdr:colOff>
          <xdr:row>5</xdr:row>
          <xdr:rowOff>298450</xdr:rowOff>
        </xdr:to>
        <xdr:sp macro="" textlink="">
          <xdr:nvSpPr>
            <xdr:cNvPr id="16391" name="obDatabaseLevelHierarchy" hidden="1">
              <a:extLst>
                <a:ext uri="{63B3BB69-23CF-44E3-9099-C40C66FF867C}">
                  <a14:compatExt spid="_x0000_s16391"/>
                </a:ext>
                <a:ext uri="{FF2B5EF4-FFF2-40B4-BE49-F238E27FC236}">
                  <a16:creationId xmlns:a16="http://schemas.microsoft.com/office/drawing/2014/main" id="{00000000-0008-0000-0100-000007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Structure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914400</xdr:colOff>
          <xdr:row>5</xdr:row>
          <xdr:rowOff>0</xdr:rowOff>
        </xdr:from>
        <xdr:to>
          <xdr:col>12</xdr:col>
          <xdr:colOff>0</xdr:colOff>
          <xdr:row>5</xdr:row>
          <xdr:rowOff>336550</xdr:rowOff>
        </xdr:to>
        <xdr:sp macro="" textlink="">
          <xdr:nvSpPr>
            <xdr:cNvPr id="16392" name="cbApplyLevelFromTopToBottom" hidden="1">
              <a:extLst>
                <a:ext uri="{63B3BB69-23CF-44E3-9099-C40C66FF867C}">
                  <a14:compatExt spid="_x0000_s16392"/>
                </a:ext>
                <a:ext uri="{FF2B5EF4-FFF2-40B4-BE49-F238E27FC236}">
                  <a16:creationId xmlns:a16="http://schemas.microsoft.com/office/drawing/2014/main" id="{00000000-0008-0000-0100-000008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Start formatting from the lowest level displayed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31750</xdr:colOff>
          <xdr:row>6</xdr:row>
          <xdr:rowOff>146050</xdr:rowOff>
        </xdr:from>
        <xdr:to>
          <xdr:col>11</xdr:col>
          <xdr:colOff>1193800</xdr:colOff>
          <xdr:row>7</xdr:row>
          <xdr:rowOff>133350</xdr:rowOff>
        </xdr:to>
        <xdr:sp macro="" textlink="">
          <xdr:nvSpPr>
            <xdr:cNvPr id="16393" name="LVL1tbFormattingByLevel" hidden="1">
              <a:extLst>
                <a:ext uri="{63B3BB69-23CF-44E3-9099-C40C66FF867C}">
                  <a14:compatExt spid="_x0000_s16393"/>
                </a:ext>
                <a:ext uri="{FF2B5EF4-FFF2-40B4-BE49-F238E27FC236}">
                  <a16:creationId xmlns:a16="http://schemas.microsoft.com/office/drawing/2014/main" id="{00000000-0008-0000-0100-000009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6</xdr:row>
          <xdr:rowOff>0</xdr:rowOff>
        </xdr:from>
        <xdr:to>
          <xdr:col>12</xdr:col>
          <xdr:colOff>0</xdr:colOff>
          <xdr:row>8</xdr:row>
          <xdr:rowOff>12700</xdr:rowOff>
        </xdr:to>
        <xdr:sp macro="" textlink="">
          <xdr:nvSpPr>
            <xdr:cNvPr id="16394" name="Group Box 10" hidden="1">
              <a:extLst>
                <a:ext uri="{63B3BB69-23CF-44E3-9099-C40C66FF867C}">
                  <a14:compatExt spid="_x0000_s16394"/>
                </a:ext>
                <a:ext uri="{FF2B5EF4-FFF2-40B4-BE49-F238E27FC236}">
                  <a16:creationId xmlns:a16="http://schemas.microsoft.com/office/drawing/2014/main" id="{00000000-0008-0000-0100-00000A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6</xdr:row>
          <xdr:rowOff>228600</xdr:rowOff>
        </xdr:from>
        <xdr:to>
          <xdr:col>11</xdr:col>
          <xdr:colOff>2165350</xdr:colOff>
          <xdr:row>7</xdr:row>
          <xdr:rowOff>171450</xdr:rowOff>
        </xdr:to>
        <xdr:sp macro="" textlink="">
          <xdr:nvSpPr>
            <xdr:cNvPr id="16395" name="obLevelOuterFirst" hidden="1">
              <a:extLst>
                <a:ext uri="{63B3BB69-23CF-44E3-9099-C40C66FF867C}">
                  <a14:compatExt spid="_x0000_s16395"/>
                </a:ext>
                <a:ext uri="{FF2B5EF4-FFF2-40B4-BE49-F238E27FC236}">
                  <a16:creationId xmlns:a16="http://schemas.microsoft.com/office/drawing/2014/main" id="{00000000-0008-0000-0100-00000B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6</xdr:row>
          <xdr:rowOff>31750</xdr:rowOff>
        </xdr:from>
        <xdr:to>
          <xdr:col>11</xdr:col>
          <xdr:colOff>2165350</xdr:colOff>
          <xdr:row>6</xdr:row>
          <xdr:rowOff>241300</xdr:rowOff>
        </xdr:to>
        <xdr:sp macro="" textlink="">
          <xdr:nvSpPr>
            <xdr:cNvPr id="16396" name="obLevelInnerFirst" hidden="1">
              <a:extLst>
                <a:ext uri="{63B3BB69-23CF-44E3-9099-C40C66FF867C}">
                  <a14:compatExt spid="_x0000_s16396"/>
                </a:ext>
                <a:ext uri="{FF2B5EF4-FFF2-40B4-BE49-F238E27FC236}">
                  <a16:creationId xmlns:a16="http://schemas.microsoft.com/office/drawing/2014/main" id="{00000000-0008-0000-0100-00000C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xdr:row>
          <xdr:rowOff>12700</xdr:rowOff>
        </xdr:from>
        <xdr:to>
          <xdr:col>3</xdr:col>
          <xdr:colOff>0</xdr:colOff>
          <xdr:row>11</xdr:row>
          <xdr:rowOff>50800</xdr:rowOff>
        </xdr:to>
        <xdr:sp macro="" textlink="">
          <xdr:nvSpPr>
            <xdr:cNvPr id="16397" name="cbUseDefaultLevelFirst" hidden="1">
              <a:extLst>
                <a:ext uri="{63B3BB69-23CF-44E3-9099-C40C66FF867C}">
                  <a14:compatExt spid="_x0000_s16397"/>
                </a:ext>
                <a:ext uri="{FF2B5EF4-FFF2-40B4-BE49-F238E27FC236}">
                  <a16:creationId xmlns:a16="http://schemas.microsoft.com/office/drawing/2014/main" id="{00000000-0008-0000-0100-00000D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xdr:row>
          <xdr:rowOff>0</xdr:rowOff>
        </xdr:from>
        <xdr:to>
          <xdr:col>3</xdr:col>
          <xdr:colOff>0</xdr:colOff>
          <xdr:row>14</xdr:row>
          <xdr:rowOff>50800</xdr:rowOff>
        </xdr:to>
        <xdr:sp macro="" textlink="">
          <xdr:nvSpPr>
            <xdr:cNvPr id="16398" name="cbUseLeafLevelFirst" hidden="1">
              <a:extLst>
                <a:ext uri="{63B3BB69-23CF-44E3-9099-C40C66FF867C}">
                  <a14:compatExt spid="_x0000_s16398"/>
                </a:ext>
                <a:ext uri="{FF2B5EF4-FFF2-40B4-BE49-F238E27FC236}">
                  <a16:creationId xmlns:a16="http://schemas.microsoft.com/office/drawing/2014/main" id="{00000000-0008-0000-0100-00000E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15</xdr:row>
          <xdr:rowOff>31750</xdr:rowOff>
        </xdr:from>
        <xdr:to>
          <xdr:col>3</xdr:col>
          <xdr:colOff>0</xdr:colOff>
          <xdr:row>16</xdr:row>
          <xdr:rowOff>107950</xdr:rowOff>
        </xdr:to>
        <xdr:sp macro="" textlink="">
          <xdr:nvSpPr>
            <xdr:cNvPr id="16399" name="cbUseSpecificLevelFirst" hidden="1">
              <a:extLst>
                <a:ext uri="{63B3BB69-23CF-44E3-9099-C40C66FF867C}">
                  <a14:compatExt spid="_x0000_s16399"/>
                </a:ext>
                <a:ext uri="{FF2B5EF4-FFF2-40B4-BE49-F238E27FC236}">
                  <a16:creationId xmlns:a16="http://schemas.microsoft.com/office/drawing/2014/main" id="{00000000-0008-0000-0100-00000F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25</xdr:row>
          <xdr:rowOff>31750</xdr:rowOff>
        </xdr:from>
        <xdr:to>
          <xdr:col>3</xdr:col>
          <xdr:colOff>2228850</xdr:colOff>
          <xdr:row>26</xdr:row>
          <xdr:rowOff>0</xdr:rowOff>
        </xdr:to>
        <xdr:sp macro="" textlink="">
          <xdr:nvSpPr>
            <xdr:cNvPr id="16400" name="AddLevelFirst" hidden="1">
              <a:extLst>
                <a:ext uri="{63B3BB69-23CF-44E3-9099-C40C66FF867C}">
                  <a14:compatExt spid="_x0000_s16400"/>
                </a:ext>
                <a:ext uri="{FF2B5EF4-FFF2-40B4-BE49-F238E27FC236}">
                  <a16:creationId xmlns:a16="http://schemas.microsoft.com/office/drawing/2014/main" id="{00000000-0008-0000-0100-000010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2336800</xdr:colOff>
          <xdr:row>25</xdr:row>
          <xdr:rowOff>31750</xdr:rowOff>
        </xdr:from>
        <xdr:to>
          <xdr:col>4</xdr:col>
          <xdr:colOff>0</xdr:colOff>
          <xdr:row>26</xdr:row>
          <xdr:rowOff>0</xdr:rowOff>
        </xdr:to>
        <xdr:sp macro="" textlink="">
          <xdr:nvSpPr>
            <xdr:cNvPr id="16401" name="RemoveLevelFirst" hidden="1">
              <a:extLst>
                <a:ext uri="{63B3BB69-23CF-44E3-9099-C40C66FF867C}">
                  <a14:compatExt spid="_x0000_s16401"/>
                </a:ext>
                <a:ext uri="{FF2B5EF4-FFF2-40B4-BE49-F238E27FC236}">
                  <a16:creationId xmlns:a16="http://schemas.microsoft.com/office/drawing/2014/main" id="{00000000-0008-0000-0100-000011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31750</xdr:colOff>
          <xdr:row>27</xdr:row>
          <xdr:rowOff>146050</xdr:rowOff>
        </xdr:from>
        <xdr:to>
          <xdr:col>11</xdr:col>
          <xdr:colOff>1193800</xdr:colOff>
          <xdr:row>28</xdr:row>
          <xdr:rowOff>133350</xdr:rowOff>
        </xdr:to>
        <xdr:sp macro="" textlink="">
          <xdr:nvSpPr>
            <xdr:cNvPr id="16402" name="LVL2tbFormattingByLevel" hidden="1">
              <a:extLst>
                <a:ext uri="{63B3BB69-23CF-44E3-9099-C40C66FF867C}">
                  <a14:compatExt spid="_x0000_s16402"/>
                </a:ext>
                <a:ext uri="{FF2B5EF4-FFF2-40B4-BE49-F238E27FC236}">
                  <a16:creationId xmlns:a16="http://schemas.microsoft.com/office/drawing/2014/main" id="{00000000-0008-0000-0100-000012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27</xdr:row>
          <xdr:rowOff>0</xdr:rowOff>
        </xdr:from>
        <xdr:to>
          <xdr:col>12</xdr:col>
          <xdr:colOff>0</xdr:colOff>
          <xdr:row>29</xdr:row>
          <xdr:rowOff>12700</xdr:rowOff>
        </xdr:to>
        <xdr:sp macro="" textlink="">
          <xdr:nvSpPr>
            <xdr:cNvPr id="16403" name="Group Box 19" hidden="1">
              <a:extLst>
                <a:ext uri="{63B3BB69-23CF-44E3-9099-C40C66FF867C}">
                  <a14:compatExt spid="_x0000_s16403"/>
                </a:ext>
                <a:ext uri="{FF2B5EF4-FFF2-40B4-BE49-F238E27FC236}">
                  <a16:creationId xmlns:a16="http://schemas.microsoft.com/office/drawing/2014/main" id="{00000000-0008-0000-0100-000013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27</xdr:row>
          <xdr:rowOff>228600</xdr:rowOff>
        </xdr:from>
        <xdr:to>
          <xdr:col>11</xdr:col>
          <xdr:colOff>2165350</xdr:colOff>
          <xdr:row>28</xdr:row>
          <xdr:rowOff>171450</xdr:rowOff>
        </xdr:to>
        <xdr:sp macro="" textlink="">
          <xdr:nvSpPr>
            <xdr:cNvPr id="16404" name="obLevelOuterSecond" hidden="1">
              <a:extLst>
                <a:ext uri="{63B3BB69-23CF-44E3-9099-C40C66FF867C}">
                  <a14:compatExt spid="_x0000_s16404"/>
                </a:ext>
                <a:ext uri="{FF2B5EF4-FFF2-40B4-BE49-F238E27FC236}">
                  <a16:creationId xmlns:a16="http://schemas.microsoft.com/office/drawing/2014/main" id="{00000000-0008-0000-0100-000014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27</xdr:row>
          <xdr:rowOff>31750</xdr:rowOff>
        </xdr:from>
        <xdr:to>
          <xdr:col>11</xdr:col>
          <xdr:colOff>2165350</xdr:colOff>
          <xdr:row>27</xdr:row>
          <xdr:rowOff>241300</xdr:rowOff>
        </xdr:to>
        <xdr:sp macro="" textlink="">
          <xdr:nvSpPr>
            <xdr:cNvPr id="16405" name="obLevelInnerSecond" hidden="1">
              <a:extLst>
                <a:ext uri="{63B3BB69-23CF-44E3-9099-C40C66FF867C}">
                  <a14:compatExt spid="_x0000_s16405"/>
                </a:ext>
                <a:ext uri="{FF2B5EF4-FFF2-40B4-BE49-F238E27FC236}">
                  <a16:creationId xmlns:a16="http://schemas.microsoft.com/office/drawing/2014/main" id="{00000000-0008-0000-0100-000015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30</xdr:row>
          <xdr:rowOff>12700</xdr:rowOff>
        </xdr:from>
        <xdr:to>
          <xdr:col>3</xdr:col>
          <xdr:colOff>0</xdr:colOff>
          <xdr:row>32</xdr:row>
          <xdr:rowOff>50800</xdr:rowOff>
        </xdr:to>
        <xdr:sp macro="" textlink="">
          <xdr:nvSpPr>
            <xdr:cNvPr id="16406" name="cbUseDefaultLevelSecond" hidden="1">
              <a:extLst>
                <a:ext uri="{63B3BB69-23CF-44E3-9099-C40C66FF867C}">
                  <a14:compatExt spid="_x0000_s16406"/>
                </a:ext>
                <a:ext uri="{FF2B5EF4-FFF2-40B4-BE49-F238E27FC236}">
                  <a16:creationId xmlns:a16="http://schemas.microsoft.com/office/drawing/2014/main" id="{00000000-0008-0000-0100-000016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33</xdr:row>
          <xdr:rowOff>0</xdr:rowOff>
        </xdr:from>
        <xdr:to>
          <xdr:col>3</xdr:col>
          <xdr:colOff>0</xdr:colOff>
          <xdr:row>35</xdr:row>
          <xdr:rowOff>50800</xdr:rowOff>
        </xdr:to>
        <xdr:sp macro="" textlink="">
          <xdr:nvSpPr>
            <xdr:cNvPr id="16407" name="cbUseLeafLevelSecond" hidden="1">
              <a:extLst>
                <a:ext uri="{63B3BB69-23CF-44E3-9099-C40C66FF867C}">
                  <a14:compatExt spid="_x0000_s16407"/>
                </a:ext>
                <a:ext uri="{FF2B5EF4-FFF2-40B4-BE49-F238E27FC236}">
                  <a16:creationId xmlns:a16="http://schemas.microsoft.com/office/drawing/2014/main" id="{00000000-0008-0000-0100-000017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36</xdr:row>
          <xdr:rowOff>31750</xdr:rowOff>
        </xdr:from>
        <xdr:to>
          <xdr:col>3</xdr:col>
          <xdr:colOff>0</xdr:colOff>
          <xdr:row>37</xdr:row>
          <xdr:rowOff>107950</xdr:rowOff>
        </xdr:to>
        <xdr:sp macro="" textlink="">
          <xdr:nvSpPr>
            <xdr:cNvPr id="16408" name="cbUseSpecificLevelSecond" hidden="1">
              <a:extLst>
                <a:ext uri="{63B3BB69-23CF-44E3-9099-C40C66FF867C}">
                  <a14:compatExt spid="_x0000_s16408"/>
                </a:ext>
                <a:ext uri="{FF2B5EF4-FFF2-40B4-BE49-F238E27FC236}">
                  <a16:creationId xmlns:a16="http://schemas.microsoft.com/office/drawing/2014/main" id="{00000000-0008-0000-0100-000018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46</xdr:row>
          <xdr:rowOff>31750</xdr:rowOff>
        </xdr:from>
        <xdr:to>
          <xdr:col>3</xdr:col>
          <xdr:colOff>2228850</xdr:colOff>
          <xdr:row>47</xdr:row>
          <xdr:rowOff>0</xdr:rowOff>
        </xdr:to>
        <xdr:sp macro="" textlink="">
          <xdr:nvSpPr>
            <xdr:cNvPr id="16409" name="AddLevelSecond" hidden="1">
              <a:extLst>
                <a:ext uri="{63B3BB69-23CF-44E3-9099-C40C66FF867C}">
                  <a14:compatExt spid="_x0000_s16409"/>
                </a:ext>
                <a:ext uri="{FF2B5EF4-FFF2-40B4-BE49-F238E27FC236}">
                  <a16:creationId xmlns:a16="http://schemas.microsoft.com/office/drawing/2014/main" id="{00000000-0008-0000-0100-000019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2336800</xdr:colOff>
          <xdr:row>46</xdr:row>
          <xdr:rowOff>31750</xdr:rowOff>
        </xdr:from>
        <xdr:to>
          <xdr:col>4</xdr:col>
          <xdr:colOff>0</xdr:colOff>
          <xdr:row>47</xdr:row>
          <xdr:rowOff>0</xdr:rowOff>
        </xdr:to>
        <xdr:sp macro="" textlink="">
          <xdr:nvSpPr>
            <xdr:cNvPr id="16410" name="RemoveLevelSecond" hidden="1">
              <a:extLst>
                <a:ext uri="{63B3BB69-23CF-44E3-9099-C40C66FF867C}">
                  <a14:compatExt spid="_x0000_s16410"/>
                </a:ext>
                <a:ext uri="{FF2B5EF4-FFF2-40B4-BE49-F238E27FC236}">
                  <a16:creationId xmlns:a16="http://schemas.microsoft.com/office/drawing/2014/main" id="{00000000-0008-0000-0100-00001A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51</xdr:row>
          <xdr:rowOff>69850</xdr:rowOff>
        </xdr:from>
        <xdr:to>
          <xdr:col>9</xdr:col>
          <xdr:colOff>508000</xdr:colOff>
          <xdr:row>51</xdr:row>
          <xdr:rowOff>342900</xdr:rowOff>
        </xdr:to>
        <xdr:sp macro="" textlink="">
          <xdr:nvSpPr>
            <xdr:cNvPr id="16411" name="cbApplyMemberFormatting" hidden="1">
              <a:extLst>
                <a:ext uri="{63B3BB69-23CF-44E3-9099-C40C66FF867C}">
                  <a14:compatExt spid="_x0000_s16411"/>
                </a:ext>
                <a:ext uri="{FF2B5EF4-FFF2-40B4-BE49-F238E27FC236}">
                  <a16:creationId xmlns:a16="http://schemas.microsoft.com/office/drawing/2014/main" id="{00000000-0008-0000-01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12700</xdr:rowOff>
        </xdr:from>
        <xdr:to>
          <xdr:col>12</xdr:col>
          <xdr:colOff>0</xdr:colOff>
          <xdr:row>53</xdr:row>
          <xdr:rowOff>12700</xdr:rowOff>
        </xdr:to>
        <xdr:sp macro="" textlink="">
          <xdr:nvSpPr>
            <xdr:cNvPr id="16412" name="Group Box 28" hidden="1">
              <a:extLst>
                <a:ext uri="{63B3BB69-23CF-44E3-9099-C40C66FF867C}">
                  <a14:compatExt spid="_x0000_s16412"/>
                </a:ext>
                <a:ext uri="{FF2B5EF4-FFF2-40B4-BE49-F238E27FC236}">
                  <a16:creationId xmlns:a16="http://schemas.microsoft.com/office/drawing/2014/main" id="{00000000-0008-0000-0100-00001C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52</xdr:row>
          <xdr:rowOff>69850</xdr:rowOff>
        </xdr:from>
        <xdr:to>
          <xdr:col>3</xdr:col>
          <xdr:colOff>2533650</xdr:colOff>
          <xdr:row>52</xdr:row>
          <xdr:rowOff>298450</xdr:rowOff>
        </xdr:to>
        <xdr:sp macro="" textlink="">
          <xdr:nvSpPr>
            <xdr:cNvPr id="16413" name="obMemberRowFirst" hidden="1">
              <a:extLst>
                <a:ext uri="{63B3BB69-23CF-44E3-9099-C40C66FF867C}">
                  <a14:compatExt spid="_x0000_s16413"/>
                </a:ext>
                <a:ext uri="{FF2B5EF4-FFF2-40B4-BE49-F238E27FC236}">
                  <a16:creationId xmlns:a16="http://schemas.microsoft.com/office/drawing/2014/main" id="{00000000-0008-0000-0100-00001D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52</xdr:row>
          <xdr:rowOff>69850</xdr:rowOff>
        </xdr:from>
        <xdr:to>
          <xdr:col>3</xdr:col>
          <xdr:colOff>374650</xdr:colOff>
          <xdr:row>52</xdr:row>
          <xdr:rowOff>298450</xdr:rowOff>
        </xdr:to>
        <xdr:sp macro="" textlink="">
          <xdr:nvSpPr>
            <xdr:cNvPr id="16414" name="obMemberColumnFirst" hidden="1">
              <a:extLst>
                <a:ext uri="{63B3BB69-23CF-44E3-9099-C40C66FF867C}">
                  <a14:compatExt spid="_x0000_s16414"/>
                </a:ext>
                <a:ext uri="{FF2B5EF4-FFF2-40B4-BE49-F238E27FC236}">
                  <a16:creationId xmlns:a16="http://schemas.microsoft.com/office/drawing/2014/main" id="{00000000-0008-0000-0100-00001E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54</xdr:row>
          <xdr:rowOff>209550</xdr:rowOff>
        </xdr:from>
        <xdr:to>
          <xdr:col>3</xdr:col>
          <xdr:colOff>0</xdr:colOff>
          <xdr:row>57</xdr:row>
          <xdr:rowOff>38100</xdr:rowOff>
        </xdr:to>
        <xdr:sp macro="" textlink="">
          <xdr:nvSpPr>
            <xdr:cNvPr id="16415" name="cbApplyCustomMemberDefaultFirst" hidden="1">
              <a:extLst>
                <a:ext uri="{63B3BB69-23CF-44E3-9099-C40C66FF867C}">
                  <a14:compatExt spid="_x0000_s16415"/>
                </a:ext>
                <a:ext uri="{FF2B5EF4-FFF2-40B4-BE49-F238E27FC236}">
                  <a16:creationId xmlns:a16="http://schemas.microsoft.com/office/drawing/2014/main" id="{00000000-0008-0000-0100-00001F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58</xdr:row>
          <xdr:rowOff>0</xdr:rowOff>
        </xdr:from>
        <xdr:to>
          <xdr:col>3</xdr:col>
          <xdr:colOff>0</xdr:colOff>
          <xdr:row>60</xdr:row>
          <xdr:rowOff>50800</xdr:rowOff>
        </xdr:to>
        <xdr:sp macro="" textlink="">
          <xdr:nvSpPr>
            <xdr:cNvPr id="16416" name="cbApplyCalculatedMemberFirst" hidden="1">
              <a:extLst>
                <a:ext uri="{63B3BB69-23CF-44E3-9099-C40C66FF867C}">
                  <a14:compatExt spid="_x0000_s16416"/>
                </a:ext>
                <a:ext uri="{FF2B5EF4-FFF2-40B4-BE49-F238E27FC236}">
                  <a16:creationId xmlns:a16="http://schemas.microsoft.com/office/drawing/2014/main" id="{00000000-0008-0000-0100-000020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61</xdr:row>
          <xdr:rowOff>12700</xdr:rowOff>
        </xdr:from>
        <xdr:to>
          <xdr:col>3</xdr:col>
          <xdr:colOff>0</xdr:colOff>
          <xdr:row>63</xdr:row>
          <xdr:rowOff>50800</xdr:rowOff>
        </xdr:to>
        <xdr:sp macro="" textlink="">
          <xdr:nvSpPr>
            <xdr:cNvPr id="16417" name="cbApplyImputableMemberFirst" hidden="1">
              <a:extLst>
                <a:ext uri="{63B3BB69-23CF-44E3-9099-C40C66FF867C}">
                  <a14:compatExt spid="_x0000_s16417"/>
                </a:ext>
                <a:ext uri="{FF2B5EF4-FFF2-40B4-BE49-F238E27FC236}">
                  <a16:creationId xmlns:a16="http://schemas.microsoft.com/office/drawing/2014/main" id="{00000000-0008-0000-0100-000021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64</xdr:row>
          <xdr:rowOff>0</xdr:rowOff>
        </xdr:from>
        <xdr:to>
          <xdr:col>3</xdr:col>
          <xdr:colOff>0</xdr:colOff>
          <xdr:row>66</xdr:row>
          <xdr:rowOff>50800</xdr:rowOff>
        </xdr:to>
        <xdr:sp macro="" textlink="">
          <xdr:nvSpPr>
            <xdr:cNvPr id="16418" name="cbApplyLocalMemberFirst" hidden="1">
              <a:extLst>
                <a:ext uri="{63B3BB69-23CF-44E3-9099-C40C66FF867C}">
                  <a14:compatExt spid="_x0000_s16418"/>
                </a:ext>
                <a:ext uri="{FF2B5EF4-FFF2-40B4-BE49-F238E27FC236}">
                  <a16:creationId xmlns:a16="http://schemas.microsoft.com/office/drawing/2014/main" id="{00000000-0008-0000-0100-000022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66</xdr:row>
          <xdr:rowOff>57150</xdr:rowOff>
        </xdr:from>
        <xdr:to>
          <xdr:col>3</xdr:col>
          <xdr:colOff>0</xdr:colOff>
          <xdr:row>69</xdr:row>
          <xdr:rowOff>38100</xdr:rowOff>
        </xdr:to>
        <xdr:sp macro="" textlink="">
          <xdr:nvSpPr>
            <xdr:cNvPr id="16419" name="cbApplyChangedMemberFirst" hidden="1">
              <a:extLst>
                <a:ext uri="{63B3BB69-23CF-44E3-9099-C40C66FF867C}">
                  <a14:compatExt spid="_x0000_s16419"/>
                </a:ext>
                <a:ext uri="{FF2B5EF4-FFF2-40B4-BE49-F238E27FC236}">
                  <a16:creationId xmlns:a16="http://schemas.microsoft.com/office/drawing/2014/main" id="{00000000-0008-0000-0100-000023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70</xdr:row>
          <xdr:rowOff>50800</xdr:rowOff>
        </xdr:from>
        <xdr:to>
          <xdr:col>3</xdr:col>
          <xdr:colOff>0</xdr:colOff>
          <xdr:row>72</xdr:row>
          <xdr:rowOff>12700</xdr:rowOff>
        </xdr:to>
        <xdr:sp macro="" textlink="">
          <xdr:nvSpPr>
            <xdr:cNvPr id="16420" name="cbApplySpecificMemberFirst" hidden="1">
              <a:extLst>
                <a:ext uri="{63B3BB69-23CF-44E3-9099-C40C66FF867C}">
                  <a14:compatExt spid="_x0000_s16420"/>
                </a:ext>
                <a:ext uri="{FF2B5EF4-FFF2-40B4-BE49-F238E27FC236}">
                  <a16:creationId xmlns:a16="http://schemas.microsoft.com/office/drawing/2014/main" id="{00000000-0008-0000-0100-000024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72</xdr:row>
          <xdr:rowOff>19050</xdr:rowOff>
        </xdr:from>
        <xdr:to>
          <xdr:col>4</xdr:col>
          <xdr:colOff>0</xdr:colOff>
          <xdr:row>73</xdr:row>
          <xdr:rowOff>0</xdr:rowOff>
        </xdr:to>
        <xdr:sp macro="" textlink="">
          <xdr:nvSpPr>
            <xdr:cNvPr id="16421" name="AddMemberFirst" hidden="1">
              <a:extLst>
                <a:ext uri="{63B3BB69-23CF-44E3-9099-C40C66FF867C}">
                  <a14:compatExt spid="_x0000_s16421"/>
                </a:ext>
                <a:ext uri="{FF2B5EF4-FFF2-40B4-BE49-F238E27FC236}">
                  <a16:creationId xmlns:a16="http://schemas.microsoft.com/office/drawing/2014/main" id="{00000000-0008-0000-0100-000025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76</xdr:row>
          <xdr:rowOff>0</xdr:rowOff>
        </xdr:from>
        <xdr:to>
          <xdr:col>3</xdr:col>
          <xdr:colOff>0</xdr:colOff>
          <xdr:row>78</xdr:row>
          <xdr:rowOff>50800</xdr:rowOff>
        </xdr:to>
        <xdr:sp macro="" textlink="">
          <xdr:nvSpPr>
            <xdr:cNvPr id="16422" name="cbApplyCustomMemberDefaultSecond" hidden="1">
              <a:extLst>
                <a:ext uri="{63B3BB69-23CF-44E3-9099-C40C66FF867C}">
                  <a14:compatExt spid="_x0000_s16422"/>
                </a:ext>
                <a:ext uri="{FF2B5EF4-FFF2-40B4-BE49-F238E27FC236}">
                  <a16:creationId xmlns:a16="http://schemas.microsoft.com/office/drawing/2014/main" id="{00000000-0008-0000-0100-000026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78</xdr:row>
          <xdr:rowOff>57150</xdr:rowOff>
        </xdr:from>
        <xdr:to>
          <xdr:col>3</xdr:col>
          <xdr:colOff>0</xdr:colOff>
          <xdr:row>81</xdr:row>
          <xdr:rowOff>38100</xdr:rowOff>
        </xdr:to>
        <xdr:sp macro="" textlink="">
          <xdr:nvSpPr>
            <xdr:cNvPr id="16423" name="cbApplyCalculatedMemberSecond" hidden="1">
              <a:extLst>
                <a:ext uri="{63B3BB69-23CF-44E3-9099-C40C66FF867C}">
                  <a14:compatExt spid="_x0000_s16423"/>
                </a:ext>
                <a:ext uri="{FF2B5EF4-FFF2-40B4-BE49-F238E27FC236}">
                  <a16:creationId xmlns:a16="http://schemas.microsoft.com/office/drawing/2014/main" id="{00000000-0008-0000-0100-000027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82</xdr:row>
          <xdr:rowOff>0</xdr:rowOff>
        </xdr:from>
        <xdr:to>
          <xdr:col>3</xdr:col>
          <xdr:colOff>0</xdr:colOff>
          <xdr:row>84</xdr:row>
          <xdr:rowOff>50800</xdr:rowOff>
        </xdr:to>
        <xdr:sp macro="" textlink="">
          <xdr:nvSpPr>
            <xdr:cNvPr id="16424" name="cbApplyImputableMemberSecond" hidden="1">
              <a:extLst>
                <a:ext uri="{63B3BB69-23CF-44E3-9099-C40C66FF867C}">
                  <a14:compatExt spid="_x0000_s16424"/>
                </a:ext>
                <a:ext uri="{FF2B5EF4-FFF2-40B4-BE49-F238E27FC236}">
                  <a16:creationId xmlns:a16="http://schemas.microsoft.com/office/drawing/2014/main" id="{00000000-0008-0000-0100-000028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85</xdr:row>
          <xdr:rowOff>12700</xdr:rowOff>
        </xdr:from>
        <xdr:to>
          <xdr:col>3</xdr:col>
          <xdr:colOff>0</xdr:colOff>
          <xdr:row>87</xdr:row>
          <xdr:rowOff>50800</xdr:rowOff>
        </xdr:to>
        <xdr:sp macro="" textlink="">
          <xdr:nvSpPr>
            <xdr:cNvPr id="16425" name="cbApplyLocalMemberSecond" hidden="1">
              <a:extLst>
                <a:ext uri="{63B3BB69-23CF-44E3-9099-C40C66FF867C}">
                  <a14:compatExt spid="_x0000_s16425"/>
                </a:ext>
                <a:ext uri="{FF2B5EF4-FFF2-40B4-BE49-F238E27FC236}">
                  <a16:creationId xmlns:a16="http://schemas.microsoft.com/office/drawing/2014/main" id="{00000000-0008-0000-0100-000029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88</xdr:row>
          <xdr:rowOff>0</xdr:rowOff>
        </xdr:from>
        <xdr:to>
          <xdr:col>3</xdr:col>
          <xdr:colOff>0</xdr:colOff>
          <xdr:row>90</xdr:row>
          <xdr:rowOff>50800</xdr:rowOff>
        </xdr:to>
        <xdr:sp macro="" textlink="">
          <xdr:nvSpPr>
            <xdr:cNvPr id="16426" name="cbApplyChangedMemberSecond" hidden="1">
              <a:extLst>
                <a:ext uri="{63B3BB69-23CF-44E3-9099-C40C66FF867C}">
                  <a14:compatExt spid="_x0000_s16426"/>
                </a:ext>
                <a:ext uri="{FF2B5EF4-FFF2-40B4-BE49-F238E27FC236}">
                  <a16:creationId xmlns:a16="http://schemas.microsoft.com/office/drawing/2014/main" id="{00000000-0008-0000-0100-00002A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91</xdr:row>
          <xdr:rowOff>50800</xdr:rowOff>
        </xdr:from>
        <xdr:to>
          <xdr:col>3</xdr:col>
          <xdr:colOff>0</xdr:colOff>
          <xdr:row>93</xdr:row>
          <xdr:rowOff>0</xdr:rowOff>
        </xdr:to>
        <xdr:sp macro="" textlink="">
          <xdr:nvSpPr>
            <xdr:cNvPr id="16427" name="cbApplySpecificMemberSecond" hidden="1">
              <a:extLst>
                <a:ext uri="{63B3BB69-23CF-44E3-9099-C40C66FF867C}">
                  <a14:compatExt spid="_x0000_s16427"/>
                </a:ext>
                <a:ext uri="{FF2B5EF4-FFF2-40B4-BE49-F238E27FC236}">
                  <a16:creationId xmlns:a16="http://schemas.microsoft.com/office/drawing/2014/main" id="{00000000-0008-0000-0100-00002B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96</xdr:row>
          <xdr:rowOff>31750</xdr:rowOff>
        </xdr:from>
        <xdr:to>
          <xdr:col>4</xdr:col>
          <xdr:colOff>0</xdr:colOff>
          <xdr:row>97</xdr:row>
          <xdr:rowOff>0</xdr:rowOff>
        </xdr:to>
        <xdr:sp macro="" textlink="">
          <xdr:nvSpPr>
            <xdr:cNvPr id="16428" name="AddMemberSecond" hidden="1">
              <a:extLst>
                <a:ext uri="{63B3BB69-23CF-44E3-9099-C40C66FF867C}">
                  <a14:compatExt spid="_x0000_s16428"/>
                </a:ext>
                <a:ext uri="{FF2B5EF4-FFF2-40B4-BE49-F238E27FC236}">
                  <a16:creationId xmlns:a16="http://schemas.microsoft.com/office/drawing/2014/main" id="{00000000-0008-0000-0100-00002C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1676400</xdr:colOff>
          <xdr:row>100</xdr:row>
          <xdr:rowOff>69850</xdr:rowOff>
        </xdr:from>
        <xdr:to>
          <xdr:col>7</xdr:col>
          <xdr:colOff>1803400</xdr:colOff>
          <xdr:row>100</xdr:row>
          <xdr:rowOff>342900</xdr:rowOff>
        </xdr:to>
        <xdr:sp macro="" textlink="">
          <xdr:nvSpPr>
            <xdr:cNvPr id="16429" name="cbApplyOddEvenFormatting" hidden="1">
              <a:extLst>
                <a:ext uri="{63B3BB69-23CF-44E3-9099-C40C66FF867C}">
                  <a14:compatExt spid="_x0000_s16429"/>
                </a:ext>
                <a:ext uri="{FF2B5EF4-FFF2-40B4-BE49-F238E27FC236}">
                  <a16:creationId xmlns:a16="http://schemas.microsoft.com/office/drawing/2014/main" id="{00000000-0008-0000-0100-00002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355600</xdr:rowOff>
        </xdr:from>
        <xdr:to>
          <xdr:col>12</xdr:col>
          <xdr:colOff>0</xdr:colOff>
          <xdr:row>102</xdr:row>
          <xdr:rowOff>0</xdr:rowOff>
        </xdr:to>
        <xdr:sp macro="" textlink="">
          <xdr:nvSpPr>
            <xdr:cNvPr id="16430" name="Group Box 46" hidden="1">
              <a:extLst>
                <a:ext uri="{63B3BB69-23CF-44E3-9099-C40C66FF867C}">
                  <a14:compatExt spid="_x0000_s16430"/>
                </a:ext>
                <a:ext uri="{FF2B5EF4-FFF2-40B4-BE49-F238E27FC236}">
                  <a16:creationId xmlns:a16="http://schemas.microsoft.com/office/drawing/2014/main" id="{00000000-0008-0000-0100-00002E4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101</xdr:row>
          <xdr:rowOff>57150</xdr:rowOff>
        </xdr:from>
        <xdr:to>
          <xdr:col>3</xdr:col>
          <xdr:colOff>2533650</xdr:colOff>
          <xdr:row>101</xdr:row>
          <xdr:rowOff>279400</xdr:rowOff>
        </xdr:to>
        <xdr:sp macro="" textlink="">
          <xdr:nvSpPr>
            <xdr:cNvPr id="16431" name="obOddEvenRowFirst" hidden="1">
              <a:extLst>
                <a:ext uri="{63B3BB69-23CF-44E3-9099-C40C66FF867C}">
                  <a14:compatExt spid="_x0000_s16431"/>
                </a:ext>
                <a:ext uri="{FF2B5EF4-FFF2-40B4-BE49-F238E27FC236}">
                  <a16:creationId xmlns:a16="http://schemas.microsoft.com/office/drawing/2014/main" id="{00000000-0008-0000-0100-00002F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101</xdr:row>
          <xdr:rowOff>57150</xdr:rowOff>
        </xdr:from>
        <xdr:to>
          <xdr:col>3</xdr:col>
          <xdr:colOff>374650</xdr:colOff>
          <xdr:row>101</xdr:row>
          <xdr:rowOff>279400</xdr:rowOff>
        </xdr:to>
        <xdr:sp macro="" textlink="">
          <xdr:nvSpPr>
            <xdr:cNvPr id="16432" name="obOddEvenColumnFirst" hidden="1">
              <a:extLst>
                <a:ext uri="{63B3BB69-23CF-44E3-9099-C40C66FF867C}">
                  <a14:compatExt spid="_x0000_s16432"/>
                </a:ext>
                <a:ext uri="{FF2B5EF4-FFF2-40B4-BE49-F238E27FC236}">
                  <a16:creationId xmlns:a16="http://schemas.microsoft.com/office/drawing/2014/main" id="{00000000-0008-0000-0100-000030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104</xdr:row>
          <xdr:rowOff>0</xdr:rowOff>
        </xdr:from>
        <xdr:to>
          <xdr:col>3</xdr:col>
          <xdr:colOff>0</xdr:colOff>
          <xdr:row>106</xdr:row>
          <xdr:rowOff>50800</xdr:rowOff>
        </xdr:to>
        <xdr:sp macro="" textlink="">
          <xdr:nvSpPr>
            <xdr:cNvPr id="16433" name="cbUseOddFirst" hidden="1">
              <a:extLst>
                <a:ext uri="{63B3BB69-23CF-44E3-9099-C40C66FF867C}">
                  <a14:compatExt spid="_x0000_s16433"/>
                </a:ext>
                <a:ext uri="{FF2B5EF4-FFF2-40B4-BE49-F238E27FC236}">
                  <a16:creationId xmlns:a16="http://schemas.microsoft.com/office/drawing/2014/main" id="{00000000-0008-0000-0100-000031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107</xdr:row>
          <xdr:rowOff>12700</xdr:rowOff>
        </xdr:from>
        <xdr:to>
          <xdr:col>3</xdr:col>
          <xdr:colOff>0</xdr:colOff>
          <xdr:row>109</xdr:row>
          <xdr:rowOff>50800</xdr:rowOff>
        </xdr:to>
        <xdr:sp macro="" textlink="">
          <xdr:nvSpPr>
            <xdr:cNvPr id="16434" name="cbUseEvenFirst" hidden="1">
              <a:extLst>
                <a:ext uri="{63B3BB69-23CF-44E3-9099-C40C66FF867C}">
                  <a14:compatExt spid="_x0000_s16434"/>
                </a:ext>
                <a:ext uri="{FF2B5EF4-FFF2-40B4-BE49-F238E27FC236}">
                  <a16:creationId xmlns:a16="http://schemas.microsoft.com/office/drawing/2014/main" id="{00000000-0008-0000-0100-000032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111</xdr:row>
          <xdr:rowOff>222250</xdr:rowOff>
        </xdr:from>
        <xdr:to>
          <xdr:col>3</xdr:col>
          <xdr:colOff>0</xdr:colOff>
          <xdr:row>114</xdr:row>
          <xdr:rowOff>38100</xdr:rowOff>
        </xdr:to>
        <xdr:sp macro="" textlink="">
          <xdr:nvSpPr>
            <xdr:cNvPr id="16435" name="cbUseOddSecond" hidden="1">
              <a:extLst>
                <a:ext uri="{63B3BB69-23CF-44E3-9099-C40C66FF867C}">
                  <a14:compatExt spid="_x0000_s16435"/>
                </a:ext>
                <a:ext uri="{FF2B5EF4-FFF2-40B4-BE49-F238E27FC236}">
                  <a16:creationId xmlns:a16="http://schemas.microsoft.com/office/drawing/2014/main" id="{00000000-0008-0000-0100-000033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115</xdr:row>
          <xdr:rowOff>0</xdr:rowOff>
        </xdr:from>
        <xdr:to>
          <xdr:col>3</xdr:col>
          <xdr:colOff>0</xdr:colOff>
          <xdr:row>117</xdr:row>
          <xdr:rowOff>50800</xdr:rowOff>
        </xdr:to>
        <xdr:sp macro="" textlink="">
          <xdr:nvSpPr>
            <xdr:cNvPr id="16436" name="cbUseEvenSecond" hidden="1">
              <a:extLst>
                <a:ext uri="{63B3BB69-23CF-44E3-9099-C40C66FF867C}">
                  <a14:compatExt spid="_x0000_s16436"/>
                </a:ext>
                <a:ext uri="{FF2B5EF4-FFF2-40B4-BE49-F238E27FC236}">
                  <a16:creationId xmlns:a16="http://schemas.microsoft.com/office/drawing/2014/main" id="{00000000-0008-0000-0100-000034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1524000</xdr:colOff>
          <xdr:row>120</xdr:row>
          <xdr:rowOff>69850</xdr:rowOff>
        </xdr:from>
        <xdr:to>
          <xdr:col>7</xdr:col>
          <xdr:colOff>1651000</xdr:colOff>
          <xdr:row>120</xdr:row>
          <xdr:rowOff>342900</xdr:rowOff>
        </xdr:to>
        <xdr:sp macro="" textlink="">
          <xdr:nvSpPr>
            <xdr:cNvPr id="16437" name="cbApplyPageHeaderFormatting" hidden="1">
              <a:extLst>
                <a:ext uri="{63B3BB69-23CF-44E3-9099-C40C66FF867C}">
                  <a14:compatExt spid="_x0000_s16437"/>
                </a:ext>
                <a:ext uri="{FF2B5EF4-FFF2-40B4-BE49-F238E27FC236}">
                  <a16:creationId xmlns:a16="http://schemas.microsoft.com/office/drawing/2014/main" id="{00000000-0008-0000-0100-00003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123</xdr:row>
          <xdr:rowOff>0</xdr:rowOff>
        </xdr:from>
        <xdr:to>
          <xdr:col>3</xdr:col>
          <xdr:colOff>0</xdr:colOff>
          <xdr:row>125</xdr:row>
          <xdr:rowOff>50800</xdr:rowOff>
        </xdr:to>
        <xdr:sp macro="" textlink="">
          <xdr:nvSpPr>
            <xdr:cNvPr id="16438" name="cbUseDefaultPageHeaderFormat" hidden="1">
              <a:extLst>
                <a:ext uri="{63B3BB69-23CF-44E3-9099-C40C66FF867C}">
                  <a14:compatExt spid="_x0000_s16438"/>
                </a:ext>
                <a:ext uri="{FF2B5EF4-FFF2-40B4-BE49-F238E27FC236}">
                  <a16:creationId xmlns:a16="http://schemas.microsoft.com/office/drawing/2014/main" id="{00000000-0008-0000-0100-000036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126</xdr:row>
          <xdr:rowOff>12700</xdr:rowOff>
        </xdr:from>
        <xdr:to>
          <xdr:col>3</xdr:col>
          <xdr:colOff>0</xdr:colOff>
          <xdr:row>127</xdr:row>
          <xdr:rowOff>171450</xdr:rowOff>
        </xdr:to>
        <xdr:sp macro="" textlink="">
          <xdr:nvSpPr>
            <xdr:cNvPr id="16439" name="cbUseDimensionFormatting" hidden="1">
              <a:extLst>
                <a:ext uri="{63B3BB69-23CF-44E3-9099-C40C66FF867C}">
                  <a14:compatExt spid="_x0000_s16439"/>
                </a:ext>
                <a:ext uri="{FF2B5EF4-FFF2-40B4-BE49-F238E27FC236}">
                  <a16:creationId xmlns:a16="http://schemas.microsoft.com/office/drawing/2014/main" id="{00000000-0008-0000-0100-0000374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128</xdr:row>
          <xdr:rowOff>31750</xdr:rowOff>
        </xdr:from>
        <xdr:to>
          <xdr:col>4</xdr:col>
          <xdr:colOff>0</xdr:colOff>
          <xdr:row>129</xdr:row>
          <xdr:rowOff>0</xdr:rowOff>
        </xdr:to>
        <xdr:sp macro="" textlink="">
          <xdr:nvSpPr>
            <xdr:cNvPr id="16440" name="AddDimension" hidden="1">
              <a:extLst>
                <a:ext uri="{63B3BB69-23CF-44E3-9099-C40C66FF867C}">
                  <a14:compatExt spid="_x0000_s16440"/>
                </a:ext>
                <a:ext uri="{FF2B5EF4-FFF2-40B4-BE49-F238E27FC236}">
                  <a16:creationId xmlns:a16="http://schemas.microsoft.com/office/drawing/2014/main" id="{00000000-0008-0000-0100-000038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Dimension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94</xdr:row>
          <xdr:rowOff>0</xdr:rowOff>
        </xdr:from>
        <xdr:to>
          <xdr:col>13</xdr:col>
          <xdr:colOff>0</xdr:colOff>
          <xdr:row>95</xdr:row>
          <xdr:rowOff>12700</xdr:rowOff>
        </xdr:to>
        <xdr:sp macro="" textlink="">
          <xdr:nvSpPr>
            <xdr:cNvPr id="16545" name="AddedMember2_1" hidden="1">
              <a:extLst>
                <a:ext uri="{63B3BB69-23CF-44E3-9099-C40C66FF867C}">
                  <a14:compatExt spid="_x0000_s16545"/>
                </a:ext>
                <a:ext uri="{FF2B5EF4-FFF2-40B4-BE49-F238E27FC236}">
                  <a16:creationId xmlns:a16="http://schemas.microsoft.com/office/drawing/2014/main" id="{00000000-0008-0000-0100-0000A1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736600</xdr:colOff>
          <xdr:row>94</xdr:row>
          <xdr:rowOff>0</xdr:rowOff>
        </xdr:from>
        <xdr:to>
          <xdr:col>14</xdr:col>
          <xdr:colOff>0</xdr:colOff>
          <xdr:row>95</xdr:row>
          <xdr:rowOff>12700</xdr:rowOff>
        </xdr:to>
        <xdr:sp macro="" textlink="">
          <xdr:nvSpPr>
            <xdr:cNvPr id="16546" name="ChangeMember2_1" hidden="1">
              <a:extLst>
                <a:ext uri="{63B3BB69-23CF-44E3-9099-C40C66FF867C}">
                  <a14:compatExt spid="_x0000_s16546"/>
                </a:ext>
                <a:ext uri="{FF2B5EF4-FFF2-40B4-BE49-F238E27FC236}">
                  <a16:creationId xmlns:a16="http://schemas.microsoft.com/office/drawing/2014/main" id="{00000000-0008-0000-0100-0000A2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94</xdr:row>
          <xdr:rowOff>0</xdr:rowOff>
        </xdr:from>
        <xdr:to>
          <xdr:col>15</xdr:col>
          <xdr:colOff>0</xdr:colOff>
          <xdr:row>95</xdr:row>
          <xdr:rowOff>12700</xdr:rowOff>
        </xdr:to>
        <xdr:sp macro="" textlink="">
          <xdr:nvSpPr>
            <xdr:cNvPr id="16547" name="UpMember2_1" hidden="1">
              <a:extLst>
                <a:ext uri="{63B3BB69-23CF-44E3-9099-C40C66FF867C}">
                  <a14:compatExt spid="_x0000_s16547"/>
                </a:ext>
                <a:ext uri="{FF2B5EF4-FFF2-40B4-BE49-F238E27FC236}">
                  <a16:creationId xmlns:a16="http://schemas.microsoft.com/office/drawing/2014/main" id="{00000000-0008-0000-0100-0000A3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12700</xdr:colOff>
          <xdr:row>94</xdr:row>
          <xdr:rowOff>0</xdr:rowOff>
        </xdr:from>
        <xdr:to>
          <xdr:col>16</xdr:col>
          <xdr:colOff>0</xdr:colOff>
          <xdr:row>95</xdr:row>
          <xdr:rowOff>12700</xdr:rowOff>
        </xdr:to>
        <xdr:sp macro="" textlink="">
          <xdr:nvSpPr>
            <xdr:cNvPr id="16548" name="DownMember2_1" hidden="1">
              <a:extLst>
                <a:ext uri="{63B3BB69-23CF-44E3-9099-C40C66FF867C}">
                  <a14:compatExt spid="_x0000_s16548"/>
                </a:ext>
                <a:ext uri="{FF2B5EF4-FFF2-40B4-BE49-F238E27FC236}">
                  <a16:creationId xmlns:a16="http://schemas.microsoft.com/office/drawing/2014/main" id="{00000000-0008-0000-0100-0000A4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1485900</xdr:colOff>
          <xdr:row>4</xdr:row>
          <xdr:rowOff>69850</xdr:rowOff>
        </xdr:from>
        <xdr:to>
          <xdr:col>7</xdr:col>
          <xdr:colOff>1612900</xdr:colOff>
          <xdr:row>4</xdr:row>
          <xdr:rowOff>342900</xdr:rowOff>
        </xdr:to>
        <xdr:sp macro="" textlink="">
          <xdr:nvSpPr>
            <xdr:cNvPr id="19457" name="cbApplyLevelFormatting" hidden="1">
              <a:extLst>
                <a:ext uri="{63B3BB69-23CF-44E3-9099-C40C66FF867C}">
                  <a14:compatExt spid="_x0000_s19457"/>
                </a:ext>
                <a:ext uri="{FF2B5EF4-FFF2-40B4-BE49-F238E27FC236}">
                  <a16:creationId xmlns:a16="http://schemas.microsoft.com/office/drawing/2014/main" id="{00000000-0008-0000-0200-00000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2724150</xdr:colOff>
          <xdr:row>6</xdr:row>
          <xdr:rowOff>0</xdr:rowOff>
        </xdr:to>
        <xdr:sp macro="" textlink="">
          <xdr:nvSpPr>
            <xdr:cNvPr id="19458" name="Group Box 2" hidden="1">
              <a:extLst>
                <a:ext uri="{63B3BB69-23CF-44E3-9099-C40C66FF867C}">
                  <a14:compatExt spid="_x0000_s19458"/>
                </a:ext>
                <a:ext uri="{FF2B5EF4-FFF2-40B4-BE49-F238E27FC236}">
                  <a16:creationId xmlns:a16="http://schemas.microsoft.com/office/drawing/2014/main" id="{00000000-0008-0000-0200-000002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5</xdr:row>
          <xdr:rowOff>69850</xdr:rowOff>
        </xdr:from>
        <xdr:to>
          <xdr:col>3</xdr:col>
          <xdr:colOff>2533650</xdr:colOff>
          <xdr:row>5</xdr:row>
          <xdr:rowOff>298450</xdr:rowOff>
        </xdr:to>
        <xdr:sp macro="" textlink="">
          <xdr:nvSpPr>
            <xdr:cNvPr id="19459" name="obLevelRowFirst" hidden="1">
              <a:extLst>
                <a:ext uri="{63B3BB69-23CF-44E3-9099-C40C66FF867C}">
                  <a14:compatExt spid="_x0000_s19459"/>
                </a:ext>
                <a:ext uri="{FF2B5EF4-FFF2-40B4-BE49-F238E27FC236}">
                  <a16:creationId xmlns:a16="http://schemas.microsoft.com/office/drawing/2014/main" id="{00000000-0008-0000-0200-00000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5</xdr:row>
          <xdr:rowOff>69850</xdr:rowOff>
        </xdr:from>
        <xdr:to>
          <xdr:col>3</xdr:col>
          <xdr:colOff>374650</xdr:colOff>
          <xdr:row>5</xdr:row>
          <xdr:rowOff>298450</xdr:rowOff>
        </xdr:to>
        <xdr:sp macro="" textlink="">
          <xdr:nvSpPr>
            <xdr:cNvPr id="19460" name="obLevelColumnFirst" hidden="1">
              <a:extLst>
                <a:ext uri="{63B3BB69-23CF-44E3-9099-C40C66FF867C}">
                  <a14:compatExt spid="_x0000_s19460"/>
                </a:ext>
                <a:ext uri="{FF2B5EF4-FFF2-40B4-BE49-F238E27FC236}">
                  <a16:creationId xmlns:a16="http://schemas.microsoft.com/office/drawing/2014/main" id="{00000000-0008-0000-0200-00000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2679700</xdr:colOff>
          <xdr:row>5</xdr:row>
          <xdr:rowOff>0</xdr:rowOff>
        </xdr:from>
        <xdr:to>
          <xdr:col>9</xdr:col>
          <xdr:colOff>717550</xdr:colOff>
          <xdr:row>6</xdr:row>
          <xdr:rowOff>0</xdr:rowOff>
        </xdr:to>
        <xdr:sp macro="" textlink="">
          <xdr:nvSpPr>
            <xdr:cNvPr id="19461" name="Group Box 5" hidden="1">
              <a:extLst>
                <a:ext uri="{63B3BB69-23CF-44E3-9099-C40C66FF867C}">
                  <a14:compatExt spid="_x0000_s19461"/>
                </a:ext>
                <a:ext uri="{FF2B5EF4-FFF2-40B4-BE49-F238E27FC236}">
                  <a16:creationId xmlns:a16="http://schemas.microsoft.com/office/drawing/2014/main" id="{00000000-0008-0000-0200-000005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4146550</xdr:colOff>
          <xdr:row>5</xdr:row>
          <xdr:rowOff>69850</xdr:rowOff>
        </xdr:from>
        <xdr:to>
          <xdr:col>5</xdr:col>
          <xdr:colOff>850900</xdr:colOff>
          <xdr:row>5</xdr:row>
          <xdr:rowOff>298450</xdr:rowOff>
        </xdr:to>
        <xdr:sp macro="" textlink="">
          <xdr:nvSpPr>
            <xdr:cNvPr id="19462" name="obRelativeLevelHierarchy" hidden="1">
              <a:extLst>
                <a:ext uri="{63B3BB69-23CF-44E3-9099-C40C66FF867C}">
                  <a14:compatExt spid="_x0000_s19462"/>
                </a:ext>
                <a:ext uri="{FF2B5EF4-FFF2-40B4-BE49-F238E27FC236}">
                  <a16:creationId xmlns:a16="http://schemas.microsoft.com/office/drawing/2014/main" id="{00000000-0008-0000-0200-00000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Relative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2698750</xdr:colOff>
          <xdr:row>5</xdr:row>
          <xdr:rowOff>69850</xdr:rowOff>
        </xdr:from>
        <xdr:to>
          <xdr:col>3</xdr:col>
          <xdr:colOff>4127500</xdr:colOff>
          <xdr:row>5</xdr:row>
          <xdr:rowOff>298450</xdr:rowOff>
        </xdr:to>
        <xdr:sp macro="" textlink="">
          <xdr:nvSpPr>
            <xdr:cNvPr id="19463" name="obDatabaseLevelHierarchy" hidden="1">
              <a:extLst>
                <a:ext uri="{63B3BB69-23CF-44E3-9099-C40C66FF867C}">
                  <a14:compatExt spid="_x0000_s19463"/>
                </a:ext>
                <a:ext uri="{FF2B5EF4-FFF2-40B4-BE49-F238E27FC236}">
                  <a16:creationId xmlns:a16="http://schemas.microsoft.com/office/drawing/2014/main" id="{00000000-0008-0000-0200-00000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Structure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914400</xdr:colOff>
          <xdr:row>5</xdr:row>
          <xdr:rowOff>0</xdr:rowOff>
        </xdr:from>
        <xdr:to>
          <xdr:col>12</xdr:col>
          <xdr:colOff>0</xdr:colOff>
          <xdr:row>5</xdr:row>
          <xdr:rowOff>336550</xdr:rowOff>
        </xdr:to>
        <xdr:sp macro="" textlink="">
          <xdr:nvSpPr>
            <xdr:cNvPr id="19464" name="cbApplyLevelFromTopToBottom" hidden="1">
              <a:extLst>
                <a:ext uri="{63B3BB69-23CF-44E3-9099-C40C66FF867C}">
                  <a14:compatExt spid="_x0000_s19464"/>
                </a:ext>
                <a:ext uri="{FF2B5EF4-FFF2-40B4-BE49-F238E27FC236}">
                  <a16:creationId xmlns:a16="http://schemas.microsoft.com/office/drawing/2014/main" id="{00000000-0008-0000-0200-000008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Start formatting from the lowest level displayed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31750</xdr:colOff>
          <xdr:row>6</xdr:row>
          <xdr:rowOff>146050</xdr:rowOff>
        </xdr:from>
        <xdr:to>
          <xdr:col>11</xdr:col>
          <xdr:colOff>1193800</xdr:colOff>
          <xdr:row>7</xdr:row>
          <xdr:rowOff>133350</xdr:rowOff>
        </xdr:to>
        <xdr:sp macro="" textlink="">
          <xdr:nvSpPr>
            <xdr:cNvPr id="19465" name="LVL1tbFormattingByLevel" hidden="1">
              <a:extLst>
                <a:ext uri="{63B3BB69-23CF-44E3-9099-C40C66FF867C}">
                  <a14:compatExt spid="_x0000_s19465"/>
                </a:ext>
                <a:ext uri="{FF2B5EF4-FFF2-40B4-BE49-F238E27FC236}">
                  <a16:creationId xmlns:a16="http://schemas.microsoft.com/office/drawing/2014/main" id="{00000000-0008-0000-0200-000009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6</xdr:row>
          <xdr:rowOff>0</xdr:rowOff>
        </xdr:from>
        <xdr:to>
          <xdr:col>12</xdr:col>
          <xdr:colOff>0</xdr:colOff>
          <xdr:row>8</xdr:row>
          <xdr:rowOff>12700</xdr:rowOff>
        </xdr:to>
        <xdr:sp macro="" textlink="">
          <xdr:nvSpPr>
            <xdr:cNvPr id="19466" name="Group Box 10" hidden="1">
              <a:extLst>
                <a:ext uri="{63B3BB69-23CF-44E3-9099-C40C66FF867C}">
                  <a14:compatExt spid="_x0000_s19466"/>
                </a:ext>
                <a:ext uri="{FF2B5EF4-FFF2-40B4-BE49-F238E27FC236}">
                  <a16:creationId xmlns:a16="http://schemas.microsoft.com/office/drawing/2014/main" id="{00000000-0008-0000-0200-00000A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6</xdr:row>
          <xdr:rowOff>228600</xdr:rowOff>
        </xdr:from>
        <xdr:to>
          <xdr:col>11</xdr:col>
          <xdr:colOff>2165350</xdr:colOff>
          <xdr:row>7</xdr:row>
          <xdr:rowOff>171450</xdr:rowOff>
        </xdr:to>
        <xdr:sp macro="" textlink="">
          <xdr:nvSpPr>
            <xdr:cNvPr id="19467" name="obLevelOuterFirst" hidden="1">
              <a:extLst>
                <a:ext uri="{63B3BB69-23CF-44E3-9099-C40C66FF867C}">
                  <a14:compatExt spid="_x0000_s19467"/>
                </a:ext>
                <a:ext uri="{FF2B5EF4-FFF2-40B4-BE49-F238E27FC236}">
                  <a16:creationId xmlns:a16="http://schemas.microsoft.com/office/drawing/2014/main" id="{00000000-0008-0000-0200-00000B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6</xdr:row>
          <xdr:rowOff>31750</xdr:rowOff>
        </xdr:from>
        <xdr:to>
          <xdr:col>11</xdr:col>
          <xdr:colOff>2165350</xdr:colOff>
          <xdr:row>6</xdr:row>
          <xdr:rowOff>241300</xdr:rowOff>
        </xdr:to>
        <xdr:sp macro="" textlink="">
          <xdr:nvSpPr>
            <xdr:cNvPr id="19468" name="obLevelInnerFirst" hidden="1">
              <a:extLst>
                <a:ext uri="{63B3BB69-23CF-44E3-9099-C40C66FF867C}">
                  <a14:compatExt spid="_x0000_s19468"/>
                </a:ext>
                <a:ext uri="{FF2B5EF4-FFF2-40B4-BE49-F238E27FC236}">
                  <a16:creationId xmlns:a16="http://schemas.microsoft.com/office/drawing/2014/main" id="{00000000-0008-0000-0200-00000C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xdr:row>
          <xdr:rowOff>12700</xdr:rowOff>
        </xdr:from>
        <xdr:to>
          <xdr:col>3</xdr:col>
          <xdr:colOff>0</xdr:colOff>
          <xdr:row>11</xdr:row>
          <xdr:rowOff>50800</xdr:rowOff>
        </xdr:to>
        <xdr:sp macro="" textlink="">
          <xdr:nvSpPr>
            <xdr:cNvPr id="19469" name="cbUseDefaultLevelFirst" hidden="1">
              <a:extLst>
                <a:ext uri="{63B3BB69-23CF-44E3-9099-C40C66FF867C}">
                  <a14:compatExt spid="_x0000_s19469"/>
                </a:ext>
                <a:ext uri="{FF2B5EF4-FFF2-40B4-BE49-F238E27FC236}">
                  <a16:creationId xmlns:a16="http://schemas.microsoft.com/office/drawing/2014/main" id="{00000000-0008-0000-0200-00000D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xdr:row>
          <xdr:rowOff>0</xdr:rowOff>
        </xdr:from>
        <xdr:to>
          <xdr:col>3</xdr:col>
          <xdr:colOff>0</xdr:colOff>
          <xdr:row>14</xdr:row>
          <xdr:rowOff>50800</xdr:rowOff>
        </xdr:to>
        <xdr:sp macro="" textlink="">
          <xdr:nvSpPr>
            <xdr:cNvPr id="19470" name="cbUseLeafLevelFirst" hidden="1">
              <a:extLst>
                <a:ext uri="{63B3BB69-23CF-44E3-9099-C40C66FF867C}">
                  <a14:compatExt spid="_x0000_s19470"/>
                </a:ext>
                <a:ext uri="{FF2B5EF4-FFF2-40B4-BE49-F238E27FC236}">
                  <a16:creationId xmlns:a16="http://schemas.microsoft.com/office/drawing/2014/main" id="{00000000-0008-0000-0200-00000E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15</xdr:row>
          <xdr:rowOff>31750</xdr:rowOff>
        </xdr:from>
        <xdr:to>
          <xdr:col>3</xdr:col>
          <xdr:colOff>0</xdr:colOff>
          <xdr:row>16</xdr:row>
          <xdr:rowOff>107950</xdr:rowOff>
        </xdr:to>
        <xdr:sp macro="" textlink="">
          <xdr:nvSpPr>
            <xdr:cNvPr id="19471" name="cbUseSpecificLevelFirst" hidden="1">
              <a:extLst>
                <a:ext uri="{63B3BB69-23CF-44E3-9099-C40C66FF867C}">
                  <a14:compatExt spid="_x0000_s19471"/>
                </a:ext>
                <a:ext uri="{FF2B5EF4-FFF2-40B4-BE49-F238E27FC236}">
                  <a16:creationId xmlns:a16="http://schemas.microsoft.com/office/drawing/2014/main" id="{00000000-0008-0000-0200-00000F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25</xdr:row>
          <xdr:rowOff>31750</xdr:rowOff>
        </xdr:from>
        <xdr:to>
          <xdr:col>3</xdr:col>
          <xdr:colOff>2228850</xdr:colOff>
          <xdr:row>26</xdr:row>
          <xdr:rowOff>0</xdr:rowOff>
        </xdr:to>
        <xdr:sp macro="" textlink="">
          <xdr:nvSpPr>
            <xdr:cNvPr id="19472" name="AddLevelFirst" hidden="1">
              <a:extLst>
                <a:ext uri="{63B3BB69-23CF-44E3-9099-C40C66FF867C}">
                  <a14:compatExt spid="_x0000_s19472"/>
                </a:ext>
                <a:ext uri="{FF2B5EF4-FFF2-40B4-BE49-F238E27FC236}">
                  <a16:creationId xmlns:a16="http://schemas.microsoft.com/office/drawing/2014/main" id="{00000000-0008-0000-0200-000010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2336800</xdr:colOff>
          <xdr:row>25</xdr:row>
          <xdr:rowOff>31750</xdr:rowOff>
        </xdr:from>
        <xdr:to>
          <xdr:col>4</xdr:col>
          <xdr:colOff>0</xdr:colOff>
          <xdr:row>26</xdr:row>
          <xdr:rowOff>0</xdr:rowOff>
        </xdr:to>
        <xdr:sp macro="" textlink="">
          <xdr:nvSpPr>
            <xdr:cNvPr id="19473" name="RemoveLevelFirst" hidden="1">
              <a:extLst>
                <a:ext uri="{63B3BB69-23CF-44E3-9099-C40C66FF867C}">
                  <a14:compatExt spid="_x0000_s19473"/>
                </a:ext>
                <a:ext uri="{FF2B5EF4-FFF2-40B4-BE49-F238E27FC236}">
                  <a16:creationId xmlns:a16="http://schemas.microsoft.com/office/drawing/2014/main" id="{00000000-0008-0000-0200-000011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31750</xdr:colOff>
          <xdr:row>27</xdr:row>
          <xdr:rowOff>146050</xdr:rowOff>
        </xdr:from>
        <xdr:to>
          <xdr:col>11</xdr:col>
          <xdr:colOff>1193800</xdr:colOff>
          <xdr:row>28</xdr:row>
          <xdr:rowOff>133350</xdr:rowOff>
        </xdr:to>
        <xdr:sp macro="" textlink="">
          <xdr:nvSpPr>
            <xdr:cNvPr id="19474" name="LVL2tbFormattingByLevel" hidden="1">
              <a:extLst>
                <a:ext uri="{63B3BB69-23CF-44E3-9099-C40C66FF867C}">
                  <a14:compatExt spid="_x0000_s19474"/>
                </a:ext>
                <a:ext uri="{FF2B5EF4-FFF2-40B4-BE49-F238E27FC236}">
                  <a16:creationId xmlns:a16="http://schemas.microsoft.com/office/drawing/2014/main" id="{00000000-0008-0000-0200-000012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27</xdr:row>
          <xdr:rowOff>0</xdr:rowOff>
        </xdr:from>
        <xdr:to>
          <xdr:col>12</xdr:col>
          <xdr:colOff>0</xdr:colOff>
          <xdr:row>29</xdr:row>
          <xdr:rowOff>12700</xdr:rowOff>
        </xdr:to>
        <xdr:sp macro="" textlink="">
          <xdr:nvSpPr>
            <xdr:cNvPr id="19475" name="Group Box 19" hidden="1">
              <a:extLst>
                <a:ext uri="{63B3BB69-23CF-44E3-9099-C40C66FF867C}">
                  <a14:compatExt spid="_x0000_s19475"/>
                </a:ext>
                <a:ext uri="{FF2B5EF4-FFF2-40B4-BE49-F238E27FC236}">
                  <a16:creationId xmlns:a16="http://schemas.microsoft.com/office/drawing/2014/main" id="{00000000-0008-0000-0200-000013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27</xdr:row>
          <xdr:rowOff>228600</xdr:rowOff>
        </xdr:from>
        <xdr:to>
          <xdr:col>11</xdr:col>
          <xdr:colOff>2165350</xdr:colOff>
          <xdr:row>28</xdr:row>
          <xdr:rowOff>171450</xdr:rowOff>
        </xdr:to>
        <xdr:sp macro="" textlink="">
          <xdr:nvSpPr>
            <xdr:cNvPr id="19476" name="obLevelOuterSecond" hidden="1">
              <a:extLst>
                <a:ext uri="{63B3BB69-23CF-44E3-9099-C40C66FF867C}">
                  <a14:compatExt spid="_x0000_s19476"/>
                </a:ext>
                <a:ext uri="{FF2B5EF4-FFF2-40B4-BE49-F238E27FC236}">
                  <a16:creationId xmlns:a16="http://schemas.microsoft.com/office/drawing/2014/main" id="{00000000-0008-0000-0200-00001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914400</xdr:colOff>
          <xdr:row>27</xdr:row>
          <xdr:rowOff>31750</xdr:rowOff>
        </xdr:from>
        <xdr:to>
          <xdr:col>11</xdr:col>
          <xdr:colOff>2165350</xdr:colOff>
          <xdr:row>27</xdr:row>
          <xdr:rowOff>241300</xdr:rowOff>
        </xdr:to>
        <xdr:sp macro="" textlink="">
          <xdr:nvSpPr>
            <xdr:cNvPr id="19477" name="obLevelInnerSecond" hidden="1">
              <a:extLst>
                <a:ext uri="{63B3BB69-23CF-44E3-9099-C40C66FF867C}">
                  <a14:compatExt spid="_x0000_s19477"/>
                </a:ext>
                <a:ext uri="{FF2B5EF4-FFF2-40B4-BE49-F238E27FC236}">
                  <a16:creationId xmlns:a16="http://schemas.microsoft.com/office/drawing/2014/main" id="{00000000-0008-0000-0200-000015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30</xdr:row>
          <xdr:rowOff>12700</xdr:rowOff>
        </xdr:from>
        <xdr:to>
          <xdr:col>3</xdr:col>
          <xdr:colOff>0</xdr:colOff>
          <xdr:row>32</xdr:row>
          <xdr:rowOff>50800</xdr:rowOff>
        </xdr:to>
        <xdr:sp macro="" textlink="">
          <xdr:nvSpPr>
            <xdr:cNvPr id="19478" name="cbUseDefaultLevelSecond" hidden="1">
              <a:extLst>
                <a:ext uri="{63B3BB69-23CF-44E3-9099-C40C66FF867C}">
                  <a14:compatExt spid="_x0000_s19478"/>
                </a:ext>
                <a:ext uri="{FF2B5EF4-FFF2-40B4-BE49-F238E27FC236}">
                  <a16:creationId xmlns:a16="http://schemas.microsoft.com/office/drawing/2014/main" id="{00000000-0008-0000-0200-00001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33</xdr:row>
          <xdr:rowOff>0</xdr:rowOff>
        </xdr:from>
        <xdr:to>
          <xdr:col>3</xdr:col>
          <xdr:colOff>0</xdr:colOff>
          <xdr:row>35</xdr:row>
          <xdr:rowOff>50800</xdr:rowOff>
        </xdr:to>
        <xdr:sp macro="" textlink="">
          <xdr:nvSpPr>
            <xdr:cNvPr id="19479" name="cbUseLeafLevelSecond" hidden="1">
              <a:extLst>
                <a:ext uri="{63B3BB69-23CF-44E3-9099-C40C66FF867C}">
                  <a14:compatExt spid="_x0000_s19479"/>
                </a:ext>
                <a:ext uri="{FF2B5EF4-FFF2-40B4-BE49-F238E27FC236}">
                  <a16:creationId xmlns:a16="http://schemas.microsoft.com/office/drawing/2014/main" id="{00000000-0008-0000-0200-00001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36</xdr:row>
          <xdr:rowOff>31750</xdr:rowOff>
        </xdr:from>
        <xdr:to>
          <xdr:col>3</xdr:col>
          <xdr:colOff>0</xdr:colOff>
          <xdr:row>37</xdr:row>
          <xdr:rowOff>107950</xdr:rowOff>
        </xdr:to>
        <xdr:sp macro="" textlink="">
          <xdr:nvSpPr>
            <xdr:cNvPr id="19480" name="cbUseSpecificLevelSecond" hidden="1">
              <a:extLst>
                <a:ext uri="{63B3BB69-23CF-44E3-9099-C40C66FF867C}">
                  <a14:compatExt spid="_x0000_s19480"/>
                </a:ext>
                <a:ext uri="{FF2B5EF4-FFF2-40B4-BE49-F238E27FC236}">
                  <a16:creationId xmlns:a16="http://schemas.microsoft.com/office/drawing/2014/main" id="{00000000-0008-0000-0200-000018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46</xdr:row>
          <xdr:rowOff>31750</xdr:rowOff>
        </xdr:from>
        <xdr:to>
          <xdr:col>3</xdr:col>
          <xdr:colOff>2228850</xdr:colOff>
          <xdr:row>47</xdr:row>
          <xdr:rowOff>0</xdr:rowOff>
        </xdr:to>
        <xdr:sp macro="" textlink="">
          <xdr:nvSpPr>
            <xdr:cNvPr id="19481" name="AddLevelSecond" hidden="1">
              <a:extLst>
                <a:ext uri="{63B3BB69-23CF-44E3-9099-C40C66FF867C}">
                  <a14:compatExt spid="_x0000_s19481"/>
                </a:ext>
                <a:ext uri="{FF2B5EF4-FFF2-40B4-BE49-F238E27FC236}">
                  <a16:creationId xmlns:a16="http://schemas.microsoft.com/office/drawing/2014/main" id="{00000000-0008-0000-0200-000019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2336800</xdr:colOff>
          <xdr:row>46</xdr:row>
          <xdr:rowOff>31750</xdr:rowOff>
        </xdr:from>
        <xdr:to>
          <xdr:col>4</xdr:col>
          <xdr:colOff>0</xdr:colOff>
          <xdr:row>47</xdr:row>
          <xdr:rowOff>0</xdr:rowOff>
        </xdr:to>
        <xdr:sp macro="" textlink="">
          <xdr:nvSpPr>
            <xdr:cNvPr id="19482" name="RemoveLevelSecond" hidden="1">
              <a:extLst>
                <a:ext uri="{63B3BB69-23CF-44E3-9099-C40C66FF867C}">
                  <a14:compatExt spid="_x0000_s19482"/>
                </a:ext>
                <a:ext uri="{FF2B5EF4-FFF2-40B4-BE49-F238E27FC236}">
                  <a16:creationId xmlns:a16="http://schemas.microsoft.com/office/drawing/2014/main" id="{00000000-0008-0000-0200-00001A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51</xdr:row>
          <xdr:rowOff>69850</xdr:rowOff>
        </xdr:from>
        <xdr:to>
          <xdr:col>9</xdr:col>
          <xdr:colOff>508000</xdr:colOff>
          <xdr:row>51</xdr:row>
          <xdr:rowOff>342900</xdr:rowOff>
        </xdr:to>
        <xdr:sp macro="" textlink="">
          <xdr:nvSpPr>
            <xdr:cNvPr id="19483" name="cbApplyMemberFormatting" hidden="1">
              <a:extLst>
                <a:ext uri="{63B3BB69-23CF-44E3-9099-C40C66FF867C}">
                  <a14:compatExt spid="_x0000_s19483"/>
                </a:ext>
                <a:ext uri="{FF2B5EF4-FFF2-40B4-BE49-F238E27FC236}">
                  <a16:creationId xmlns:a16="http://schemas.microsoft.com/office/drawing/2014/main" id="{00000000-0008-0000-0200-00001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12700</xdr:rowOff>
        </xdr:from>
        <xdr:to>
          <xdr:col>12</xdr:col>
          <xdr:colOff>0</xdr:colOff>
          <xdr:row>53</xdr:row>
          <xdr:rowOff>12700</xdr:rowOff>
        </xdr:to>
        <xdr:sp macro="" textlink="">
          <xdr:nvSpPr>
            <xdr:cNvPr id="19484" name="Group Box 28" hidden="1">
              <a:extLst>
                <a:ext uri="{63B3BB69-23CF-44E3-9099-C40C66FF867C}">
                  <a14:compatExt spid="_x0000_s19484"/>
                </a:ext>
                <a:ext uri="{FF2B5EF4-FFF2-40B4-BE49-F238E27FC236}">
                  <a16:creationId xmlns:a16="http://schemas.microsoft.com/office/drawing/2014/main" id="{00000000-0008-0000-0200-00001C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52</xdr:row>
          <xdr:rowOff>69850</xdr:rowOff>
        </xdr:from>
        <xdr:to>
          <xdr:col>3</xdr:col>
          <xdr:colOff>2533650</xdr:colOff>
          <xdr:row>52</xdr:row>
          <xdr:rowOff>298450</xdr:rowOff>
        </xdr:to>
        <xdr:sp macro="" textlink="">
          <xdr:nvSpPr>
            <xdr:cNvPr id="19485" name="obMemberRowFirst" hidden="1">
              <a:extLst>
                <a:ext uri="{63B3BB69-23CF-44E3-9099-C40C66FF867C}">
                  <a14:compatExt spid="_x0000_s19485"/>
                </a:ext>
                <a:ext uri="{FF2B5EF4-FFF2-40B4-BE49-F238E27FC236}">
                  <a16:creationId xmlns:a16="http://schemas.microsoft.com/office/drawing/2014/main" id="{00000000-0008-0000-0200-00001D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52</xdr:row>
          <xdr:rowOff>69850</xdr:rowOff>
        </xdr:from>
        <xdr:to>
          <xdr:col>3</xdr:col>
          <xdr:colOff>374650</xdr:colOff>
          <xdr:row>52</xdr:row>
          <xdr:rowOff>298450</xdr:rowOff>
        </xdr:to>
        <xdr:sp macro="" textlink="">
          <xdr:nvSpPr>
            <xdr:cNvPr id="19486" name="obMemberColumnFirst" hidden="1">
              <a:extLst>
                <a:ext uri="{63B3BB69-23CF-44E3-9099-C40C66FF867C}">
                  <a14:compatExt spid="_x0000_s19486"/>
                </a:ext>
                <a:ext uri="{FF2B5EF4-FFF2-40B4-BE49-F238E27FC236}">
                  <a16:creationId xmlns:a16="http://schemas.microsoft.com/office/drawing/2014/main" id="{00000000-0008-0000-0200-00001E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54</xdr:row>
          <xdr:rowOff>209550</xdr:rowOff>
        </xdr:from>
        <xdr:to>
          <xdr:col>3</xdr:col>
          <xdr:colOff>0</xdr:colOff>
          <xdr:row>57</xdr:row>
          <xdr:rowOff>38100</xdr:rowOff>
        </xdr:to>
        <xdr:sp macro="" textlink="">
          <xdr:nvSpPr>
            <xdr:cNvPr id="19487" name="cbApplyCustomMemberDefaultFirst" hidden="1">
              <a:extLst>
                <a:ext uri="{63B3BB69-23CF-44E3-9099-C40C66FF867C}">
                  <a14:compatExt spid="_x0000_s19487"/>
                </a:ext>
                <a:ext uri="{FF2B5EF4-FFF2-40B4-BE49-F238E27FC236}">
                  <a16:creationId xmlns:a16="http://schemas.microsoft.com/office/drawing/2014/main" id="{00000000-0008-0000-0200-00001F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58</xdr:row>
          <xdr:rowOff>0</xdr:rowOff>
        </xdr:from>
        <xdr:to>
          <xdr:col>3</xdr:col>
          <xdr:colOff>0</xdr:colOff>
          <xdr:row>60</xdr:row>
          <xdr:rowOff>50800</xdr:rowOff>
        </xdr:to>
        <xdr:sp macro="" textlink="">
          <xdr:nvSpPr>
            <xdr:cNvPr id="19488" name="cbApplyCalculatedMemberFirst" hidden="1">
              <a:extLst>
                <a:ext uri="{63B3BB69-23CF-44E3-9099-C40C66FF867C}">
                  <a14:compatExt spid="_x0000_s19488"/>
                </a:ext>
                <a:ext uri="{FF2B5EF4-FFF2-40B4-BE49-F238E27FC236}">
                  <a16:creationId xmlns:a16="http://schemas.microsoft.com/office/drawing/2014/main" id="{00000000-0008-0000-0200-000020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61</xdr:row>
          <xdr:rowOff>12700</xdr:rowOff>
        </xdr:from>
        <xdr:to>
          <xdr:col>3</xdr:col>
          <xdr:colOff>0</xdr:colOff>
          <xdr:row>63</xdr:row>
          <xdr:rowOff>50800</xdr:rowOff>
        </xdr:to>
        <xdr:sp macro="" textlink="">
          <xdr:nvSpPr>
            <xdr:cNvPr id="19489" name="cbApplyImputableMemberFirst" hidden="1">
              <a:extLst>
                <a:ext uri="{63B3BB69-23CF-44E3-9099-C40C66FF867C}">
                  <a14:compatExt spid="_x0000_s19489"/>
                </a:ext>
                <a:ext uri="{FF2B5EF4-FFF2-40B4-BE49-F238E27FC236}">
                  <a16:creationId xmlns:a16="http://schemas.microsoft.com/office/drawing/2014/main" id="{00000000-0008-0000-0200-000021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64</xdr:row>
          <xdr:rowOff>0</xdr:rowOff>
        </xdr:from>
        <xdr:to>
          <xdr:col>3</xdr:col>
          <xdr:colOff>0</xdr:colOff>
          <xdr:row>66</xdr:row>
          <xdr:rowOff>50800</xdr:rowOff>
        </xdr:to>
        <xdr:sp macro="" textlink="">
          <xdr:nvSpPr>
            <xdr:cNvPr id="19490" name="cbApplyLocalMemberFirst" hidden="1">
              <a:extLst>
                <a:ext uri="{63B3BB69-23CF-44E3-9099-C40C66FF867C}">
                  <a14:compatExt spid="_x0000_s19490"/>
                </a:ext>
                <a:ext uri="{FF2B5EF4-FFF2-40B4-BE49-F238E27FC236}">
                  <a16:creationId xmlns:a16="http://schemas.microsoft.com/office/drawing/2014/main" id="{00000000-0008-0000-0200-000022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66</xdr:row>
          <xdr:rowOff>57150</xdr:rowOff>
        </xdr:from>
        <xdr:to>
          <xdr:col>3</xdr:col>
          <xdr:colOff>0</xdr:colOff>
          <xdr:row>69</xdr:row>
          <xdr:rowOff>38100</xdr:rowOff>
        </xdr:to>
        <xdr:sp macro="" textlink="">
          <xdr:nvSpPr>
            <xdr:cNvPr id="19491" name="cbApplyChangedMemberFirst" hidden="1">
              <a:extLst>
                <a:ext uri="{63B3BB69-23CF-44E3-9099-C40C66FF867C}">
                  <a14:compatExt spid="_x0000_s19491"/>
                </a:ext>
                <a:ext uri="{FF2B5EF4-FFF2-40B4-BE49-F238E27FC236}">
                  <a16:creationId xmlns:a16="http://schemas.microsoft.com/office/drawing/2014/main" id="{00000000-0008-0000-0200-00002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70</xdr:row>
          <xdr:rowOff>50800</xdr:rowOff>
        </xdr:from>
        <xdr:to>
          <xdr:col>3</xdr:col>
          <xdr:colOff>0</xdr:colOff>
          <xdr:row>72</xdr:row>
          <xdr:rowOff>12700</xdr:rowOff>
        </xdr:to>
        <xdr:sp macro="" textlink="">
          <xdr:nvSpPr>
            <xdr:cNvPr id="19492" name="cbApplySpecificMemberFirst" hidden="1">
              <a:extLst>
                <a:ext uri="{63B3BB69-23CF-44E3-9099-C40C66FF867C}">
                  <a14:compatExt spid="_x0000_s19492"/>
                </a:ext>
                <a:ext uri="{FF2B5EF4-FFF2-40B4-BE49-F238E27FC236}">
                  <a16:creationId xmlns:a16="http://schemas.microsoft.com/office/drawing/2014/main" id="{00000000-0008-0000-0200-00002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72</xdr:row>
          <xdr:rowOff>19050</xdr:rowOff>
        </xdr:from>
        <xdr:to>
          <xdr:col>4</xdr:col>
          <xdr:colOff>0</xdr:colOff>
          <xdr:row>73</xdr:row>
          <xdr:rowOff>0</xdr:rowOff>
        </xdr:to>
        <xdr:sp macro="" textlink="">
          <xdr:nvSpPr>
            <xdr:cNvPr id="19493" name="AddMemberFirst" hidden="1">
              <a:extLst>
                <a:ext uri="{63B3BB69-23CF-44E3-9099-C40C66FF867C}">
                  <a14:compatExt spid="_x0000_s19493"/>
                </a:ext>
                <a:ext uri="{FF2B5EF4-FFF2-40B4-BE49-F238E27FC236}">
                  <a16:creationId xmlns:a16="http://schemas.microsoft.com/office/drawing/2014/main" id="{00000000-0008-0000-0200-000025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76</xdr:row>
          <xdr:rowOff>0</xdr:rowOff>
        </xdr:from>
        <xdr:to>
          <xdr:col>3</xdr:col>
          <xdr:colOff>0</xdr:colOff>
          <xdr:row>78</xdr:row>
          <xdr:rowOff>50800</xdr:rowOff>
        </xdr:to>
        <xdr:sp macro="" textlink="">
          <xdr:nvSpPr>
            <xdr:cNvPr id="19494" name="cbApplyCustomMemberDefaultSecond" hidden="1">
              <a:extLst>
                <a:ext uri="{63B3BB69-23CF-44E3-9099-C40C66FF867C}">
                  <a14:compatExt spid="_x0000_s19494"/>
                </a:ext>
                <a:ext uri="{FF2B5EF4-FFF2-40B4-BE49-F238E27FC236}">
                  <a16:creationId xmlns:a16="http://schemas.microsoft.com/office/drawing/2014/main" id="{00000000-0008-0000-0200-00002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78</xdr:row>
          <xdr:rowOff>57150</xdr:rowOff>
        </xdr:from>
        <xdr:to>
          <xdr:col>3</xdr:col>
          <xdr:colOff>0</xdr:colOff>
          <xdr:row>81</xdr:row>
          <xdr:rowOff>38100</xdr:rowOff>
        </xdr:to>
        <xdr:sp macro="" textlink="">
          <xdr:nvSpPr>
            <xdr:cNvPr id="19495" name="cbApplyCalculatedMemberSecond" hidden="1">
              <a:extLst>
                <a:ext uri="{63B3BB69-23CF-44E3-9099-C40C66FF867C}">
                  <a14:compatExt spid="_x0000_s19495"/>
                </a:ext>
                <a:ext uri="{FF2B5EF4-FFF2-40B4-BE49-F238E27FC236}">
                  <a16:creationId xmlns:a16="http://schemas.microsoft.com/office/drawing/2014/main" id="{00000000-0008-0000-0200-00002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82</xdr:row>
          <xdr:rowOff>0</xdr:rowOff>
        </xdr:from>
        <xdr:to>
          <xdr:col>3</xdr:col>
          <xdr:colOff>0</xdr:colOff>
          <xdr:row>84</xdr:row>
          <xdr:rowOff>50800</xdr:rowOff>
        </xdr:to>
        <xdr:sp macro="" textlink="">
          <xdr:nvSpPr>
            <xdr:cNvPr id="19496" name="cbApplyImputableMemberSecond" hidden="1">
              <a:extLst>
                <a:ext uri="{63B3BB69-23CF-44E3-9099-C40C66FF867C}">
                  <a14:compatExt spid="_x0000_s19496"/>
                </a:ext>
                <a:ext uri="{FF2B5EF4-FFF2-40B4-BE49-F238E27FC236}">
                  <a16:creationId xmlns:a16="http://schemas.microsoft.com/office/drawing/2014/main" id="{00000000-0008-0000-0200-000028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85</xdr:row>
          <xdr:rowOff>12700</xdr:rowOff>
        </xdr:from>
        <xdr:to>
          <xdr:col>3</xdr:col>
          <xdr:colOff>0</xdr:colOff>
          <xdr:row>87</xdr:row>
          <xdr:rowOff>50800</xdr:rowOff>
        </xdr:to>
        <xdr:sp macro="" textlink="">
          <xdr:nvSpPr>
            <xdr:cNvPr id="19497" name="cbApplyLocalMemberSecond" hidden="1">
              <a:extLst>
                <a:ext uri="{63B3BB69-23CF-44E3-9099-C40C66FF867C}">
                  <a14:compatExt spid="_x0000_s19497"/>
                </a:ext>
                <a:ext uri="{FF2B5EF4-FFF2-40B4-BE49-F238E27FC236}">
                  <a16:creationId xmlns:a16="http://schemas.microsoft.com/office/drawing/2014/main" id="{00000000-0008-0000-0200-000029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88</xdr:row>
          <xdr:rowOff>0</xdr:rowOff>
        </xdr:from>
        <xdr:to>
          <xdr:col>3</xdr:col>
          <xdr:colOff>0</xdr:colOff>
          <xdr:row>90</xdr:row>
          <xdr:rowOff>50800</xdr:rowOff>
        </xdr:to>
        <xdr:sp macro="" textlink="">
          <xdr:nvSpPr>
            <xdr:cNvPr id="19498" name="cbApplyChangedMemberSecond" hidden="1">
              <a:extLst>
                <a:ext uri="{63B3BB69-23CF-44E3-9099-C40C66FF867C}">
                  <a14:compatExt spid="_x0000_s19498"/>
                </a:ext>
                <a:ext uri="{FF2B5EF4-FFF2-40B4-BE49-F238E27FC236}">
                  <a16:creationId xmlns:a16="http://schemas.microsoft.com/office/drawing/2014/main" id="{00000000-0008-0000-0200-00002A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91</xdr:row>
          <xdr:rowOff>50800</xdr:rowOff>
        </xdr:from>
        <xdr:to>
          <xdr:col>3</xdr:col>
          <xdr:colOff>0</xdr:colOff>
          <xdr:row>93</xdr:row>
          <xdr:rowOff>0</xdr:rowOff>
        </xdr:to>
        <xdr:sp macro="" textlink="">
          <xdr:nvSpPr>
            <xdr:cNvPr id="19499" name="cbApplySpecificMemberSecond" hidden="1">
              <a:extLst>
                <a:ext uri="{63B3BB69-23CF-44E3-9099-C40C66FF867C}">
                  <a14:compatExt spid="_x0000_s19499"/>
                </a:ext>
                <a:ext uri="{FF2B5EF4-FFF2-40B4-BE49-F238E27FC236}">
                  <a16:creationId xmlns:a16="http://schemas.microsoft.com/office/drawing/2014/main" id="{00000000-0008-0000-0200-00002B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102</xdr:row>
          <xdr:rowOff>31750</xdr:rowOff>
        </xdr:from>
        <xdr:to>
          <xdr:col>4</xdr:col>
          <xdr:colOff>0</xdr:colOff>
          <xdr:row>103</xdr:row>
          <xdr:rowOff>0</xdr:rowOff>
        </xdr:to>
        <xdr:sp macro="" textlink="">
          <xdr:nvSpPr>
            <xdr:cNvPr id="19500" name="AddMemberSecond" hidden="1">
              <a:extLst>
                <a:ext uri="{63B3BB69-23CF-44E3-9099-C40C66FF867C}">
                  <a14:compatExt spid="_x0000_s19500"/>
                </a:ext>
                <a:ext uri="{FF2B5EF4-FFF2-40B4-BE49-F238E27FC236}">
                  <a16:creationId xmlns:a16="http://schemas.microsoft.com/office/drawing/2014/main" id="{00000000-0008-0000-0200-00002C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1676400</xdr:colOff>
          <xdr:row>106</xdr:row>
          <xdr:rowOff>69850</xdr:rowOff>
        </xdr:from>
        <xdr:to>
          <xdr:col>7</xdr:col>
          <xdr:colOff>1803400</xdr:colOff>
          <xdr:row>106</xdr:row>
          <xdr:rowOff>342900</xdr:rowOff>
        </xdr:to>
        <xdr:sp macro="" textlink="">
          <xdr:nvSpPr>
            <xdr:cNvPr id="19501" name="cbApplyOddEvenFormatting" hidden="1">
              <a:extLst>
                <a:ext uri="{63B3BB69-23CF-44E3-9099-C40C66FF867C}">
                  <a14:compatExt spid="_x0000_s19501"/>
                </a:ext>
                <a:ext uri="{FF2B5EF4-FFF2-40B4-BE49-F238E27FC236}">
                  <a16:creationId xmlns:a16="http://schemas.microsoft.com/office/drawing/2014/main" id="{00000000-0008-0000-0200-00002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355600</xdr:rowOff>
        </xdr:from>
        <xdr:to>
          <xdr:col>12</xdr:col>
          <xdr:colOff>0</xdr:colOff>
          <xdr:row>108</xdr:row>
          <xdr:rowOff>0</xdr:rowOff>
        </xdr:to>
        <xdr:sp macro="" textlink="">
          <xdr:nvSpPr>
            <xdr:cNvPr id="19502" name="Group Box 46" hidden="1">
              <a:extLst>
                <a:ext uri="{63B3BB69-23CF-44E3-9099-C40C66FF867C}">
                  <a14:compatExt spid="_x0000_s19502"/>
                </a:ext>
                <a:ext uri="{FF2B5EF4-FFF2-40B4-BE49-F238E27FC236}">
                  <a16:creationId xmlns:a16="http://schemas.microsoft.com/office/drawing/2014/main" id="{00000000-0008-0000-0200-00002E4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107</xdr:row>
          <xdr:rowOff>57150</xdr:rowOff>
        </xdr:from>
        <xdr:to>
          <xdr:col>3</xdr:col>
          <xdr:colOff>2533650</xdr:colOff>
          <xdr:row>107</xdr:row>
          <xdr:rowOff>279400</xdr:rowOff>
        </xdr:to>
        <xdr:sp macro="" textlink="">
          <xdr:nvSpPr>
            <xdr:cNvPr id="19503" name="obOddEvenRowFirst" hidden="1">
              <a:extLst>
                <a:ext uri="{63B3BB69-23CF-44E3-9099-C40C66FF867C}">
                  <a14:compatExt spid="_x0000_s19503"/>
                </a:ext>
                <a:ext uri="{FF2B5EF4-FFF2-40B4-BE49-F238E27FC236}">
                  <a16:creationId xmlns:a16="http://schemas.microsoft.com/office/drawing/2014/main" id="{00000000-0008-0000-0200-00002F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222250</xdr:colOff>
          <xdr:row>107</xdr:row>
          <xdr:rowOff>57150</xdr:rowOff>
        </xdr:from>
        <xdr:to>
          <xdr:col>3</xdr:col>
          <xdr:colOff>374650</xdr:colOff>
          <xdr:row>107</xdr:row>
          <xdr:rowOff>279400</xdr:rowOff>
        </xdr:to>
        <xdr:sp macro="" textlink="">
          <xdr:nvSpPr>
            <xdr:cNvPr id="19504" name="obOddEvenColumnFirst" hidden="1">
              <a:extLst>
                <a:ext uri="{63B3BB69-23CF-44E3-9099-C40C66FF867C}">
                  <a14:compatExt spid="_x0000_s19504"/>
                </a:ext>
                <a:ext uri="{FF2B5EF4-FFF2-40B4-BE49-F238E27FC236}">
                  <a16:creationId xmlns:a16="http://schemas.microsoft.com/office/drawing/2014/main" id="{00000000-0008-0000-0200-000030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110</xdr:row>
          <xdr:rowOff>0</xdr:rowOff>
        </xdr:from>
        <xdr:to>
          <xdr:col>3</xdr:col>
          <xdr:colOff>0</xdr:colOff>
          <xdr:row>112</xdr:row>
          <xdr:rowOff>50800</xdr:rowOff>
        </xdr:to>
        <xdr:sp macro="" textlink="">
          <xdr:nvSpPr>
            <xdr:cNvPr id="19505" name="cbUseOddFirst" hidden="1">
              <a:extLst>
                <a:ext uri="{63B3BB69-23CF-44E3-9099-C40C66FF867C}">
                  <a14:compatExt spid="_x0000_s19505"/>
                </a:ext>
                <a:ext uri="{FF2B5EF4-FFF2-40B4-BE49-F238E27FC236}">
                  <a16:creationId xmlns:a16="http://schemas.microsoft.com/office/drawing/2014/main" id="{00000000-0008-0000-0200-000031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113</xdr:row>
          <xdr:rowOff>12700</xdr:rowOff>
        </xdr:from>
        <xdr:to>
          <xdr:col>3</xdr:col>
          <xdr:colOff>0</xdr:colOff>
          <xdr:row>115</xdr:row>
          <xdr:rowOff>50800</xdr:rowOff>
        </xdr:to>
        <xdr:sp macro="" textlink="">
          <xdr:nvSpPr>
            <xdr:cNvPr id="19506" name="cbUseEvenFirst" hidden="1">
              <a:extLst>
                <a:ext uri="{63B3BB69-23CF-44E3-9099-C40C66FF867C}">
                  <a14:compatExt spid="_x0000_s19506"/>
                </a:ext>
                <a:ext uri="{FF2B5EF4-FFF2-40B4-BE49-F238E27FC236}">
                  <a16:creationId xmlns:a16="http://schemas.microsoft.com/office/drawing/2014/main" id="{00000000-0008-0000-0200-000032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117</xdr:row>
          <xdr:rowOff>222250</xdr:rowOff>
        </xdr:from>
        <xdr:to>
          <xdr:col>3</xdr:col>
          <xdr:colOff>0</xdr:colOff>
          <xdr:row>120</xdr:row>
          <xdr:rowOff>38100</xdr:rowOff>
        </xdr:to>
        <xdr:sp macro="" textlink="">
          <xdr:nvSpPr>
            <xdr:cNvPr id="19507" name="cbUseOddSecond" hidden="1">
              <a:extLst>
                <a:ext uri="{63B3BB69-23CF-44E3-9099-C40C66FF867C}">
                  <a14:compatExt spid="_x0000_s19507"/>
                </a:ext>
                <a:ext uri="{FF2B5EF4-FFF2-40B4-BE49-F238E27FC236}">
                  <a16:creationId xmlns:a16="http://schemas.microsoft.com/office/drawing/2014/main" id="{00000000-0008-0000-0200-00003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121</xdr:row>
          <xdr:rowOff>0</xdr:rowOff>
        </xdr:from>
        <xdr:to>
          <xdr:col>3</xdr:col>
          <xdr:colOff>0</xdr:colOff>
          <xdr:row>123</xdr:row>
          <xdr:rowOff>50800</xdr:rowOff>
        </xdr:to>
        <xdr:sp macro="" textlink="">
          <xdr:nvSpPr>
            <xdr:cNvPr id="19508" name="cbUseEvenSecond" hidden="1">
              <a:extLst>
                <a:ext uri="{63B3BB69-23CF-44E3-9099-C40C66FF867C}">
                  <a14:compatExt spid="_x0000_s19508"/>
                </a:ext>
                <a:ext uri="{FF2B5EF4-FFF2-40B4-BE49-F238E27FC236}">
                  <a16:creationId xmlns:a16="http://schemas.microsoft.com/office/drawing/2014/main" id="{00000000-0008-0000-0200-00003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1524000</xdr:colOff>
          <xdr:row>126</xdr:row>
          <xdr:rowOff>69850</xdr:rowOff>
        </xdr:from>
        <xdr:to>
          <xdr:col>7</xdr:col>
          <xdr:colOff>1651000</xdr:colOff>
          <xdr:row>126</xdr:row>
          <xdr:rowOff>342900</xdr:rowOff>
        </xdr:to>
        <xdr:sp macro="" textlink="">
          <xdr:nvSpPr>
            <xdr:cNvPr id="19509" name="cbApplyPageHeaderFormatting" hidden="1">
              <a:extLst>
                <a:ext uri="{63B3BB69-23CF-44E3-9099-C40C66FF867C}">
                  <a14:compatExt spid="_x0000_s19509"/>
                </a:ext>
                <a:ext uri="{FF2B5EF4-FFF2-40B4-BE49-F238E27FC236}">
                  <a16:creationId xmlns:a16="http://schemas.microsoft.com/office/drawing/2014/main" id="{00000000-0008-0000-0200-00003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129</xdr:row>
          <xdr:rowOff>0</xdr:rowOff>
        </xdr:from>
        <xdr:to>
          <xdr:col>3</xdr:col>
          <xdr:colOff>0</xdr:colOff>
          <xdr:row>131</xdr:row>
          <xdr:rowOff>50800</xdr:rowOff>
        </xdr:to>
        <xdr:sp macro="" textlink="">
          <xdr:nvSpPr>
            <xdr:cNvPr id="19510" name="cbUseDefaultPageHeaderFormat" hidden="1">
              <a:extLst>
                <a:ext uri="{63B3BB69-23CF-44E3-9099-C40C66FF867C}">
                  <a14:compatExt spid="_x0000_s19510"/>
                </a:ext>
                <a:ext uri="{FF2B5EF4-FFF2-40B4-BE49-F238E27FC236}">
                  <a16:creationId xmlns:a16="http://schemas.microsoft.com/office/drawing/2014/main" id="{00000000-0008-0000-0200-00003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132</xdr:row>
          <xdr:rowOff>12700</xdr:rowOff>
        </xdr:from>
        <xdr:to>
          <xdr:col>3</xdr:col>
          <xdr:colOff>0</xdr:colOff>
          <xdr:row>133</xdr:row>
          <xdr:rowOff>171450</xdr:rowOff>
        </xdr:to>
        <xdr:sp macro="" textlink="">
          <xdr:nvSpPr>
            <xdr:cNvPr id="19511" name="cbUseDimensionFormatting" hidden="1">
              <a:extLst>
                <a:ext uri="{63B3BB69-23CF-44E3-9099-C40C66FF867C}">
                  <a14:compatExt spid="_x0000_s19511"/>
                </a:ext>
                <a:ext uri="{FF2B5EF4-FFF2-40B4-BE49-F238E27FC236}">
                  <a16:creationId xmlns:a16="http://schemas.microsoft.com/office/drawing/2014/main" id="{00000000-0008-0000-0200-00003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134</xdr:row>
          <xdr:rowOff>31750</xdr:rowOff>
        </xdr:from>
        <xdr:to>
          <xdr:col>4</xdr:col>
          <xdr:colOff>0</xdr:colOff>
          <xdr:row>135</xdr:row>
          <xdr:rowOff>0</xdr:rowOff>
        </xdr:to>
        <xdr:sp macro="" textlink="">
          <xdr:nvSpPr>
            <xdr:cNvPr id="19512" name="AddDimension" hidden="1">
              <a:extLst>
                <a:ext uri="{63B3BB69-23CF-44E3-9099-C40C66FF867C}">
                  <a14:compatExt spid="_x0000_s19512"/>
                </a:ext>
                <a:ext uri="{FF2B5EF4-FFF2-40B4-BE49-F238E27FC236}">
                  <a16:creationId xmlns:a16="http://schemas.microsoft.com/office/drawing/2014/main" id="{00000000-0008-0000-0200-000038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Dimension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94</xdr:row>
          <xdr:rowOff>0</xdr:rowOff>
        </xdr:from>
        <xdr:to>
          <xdr:col>13</xdr:col>
          <xdr:colOff>0</xdr:colOff>
          <xdr:row>95</xdr:row>
          <xdr:rowOff>12700</xdr:rowOff>
        </xdr:to>
        <xdr:sp macro="" textlink="">
          <xdr:nvSpPr>
            <xdr:cNvPr id="19513" name="AddedMember2_1" hidden="1">
              <a:extLst>
                <a:ext uri="{63B3BB69-23CF-44E3-9099-C40C66FF867C}">
                  <a14:compatExt spid="_x0000_s19513"/>
                </a:ext>
                <a:ext uri="{FF2B5EF4-FFF2-40B4-BE49-F238E27FC236}">
                  <a16:creationId xmlns:a16="http://schemas.microsoft.com/office/drawing/2014/main" id="{00000000-0008-0000-0200-000039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736600</xdr:colOff>
          <xdr:row>94</xdr:row>
          <xdr:rowOff>0</xdr:rowOff>
        </xdr:from>
        <xdr:to>
          <xdr:col>14</xdr:col>
          <xdr:colOff>0</xdr:colOff>
          <xdr:row>95</xdr:row>
          <xdr:rowOff>12700</xdr:rowOff>
        </xdr:to>
        <xdr:sp macro="" textlink="">
          <xdr:nvSpPr>
            <xdr:cNvPr id="19514" name="ChangeMember2_1" hidden="1">
              <a:extLst>
                <a:ext uri="{63B3BB69-23CF-44E3-9099-C40C66FF867C}">
                  <a14:compatExt spid="_x0000_s19514"/>
                </a:ext>
                <a:ext uri="{FF2B5EF4-FFF2-40B4-BE49-F238E27FC236}">
                  <a16:creationId xmlns:a16="http://schemas.microsoft.com/office/drawing/2014/main" id="{00000000-0008-0000-0200-00003A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94</xdr:row>
          <xdr:rowOff>0</xdr:rowOff>
        </xdr:from>
        <xdr:to>
          <xdr:col>15</xdr:col>
          <xdr:colOff>0</xdr:colOff>
          <xdr:row>95</xdr:row>
          <xdr:rowOff>12700</xdr:rowOff>
        </xdr:to>
        <xdr:sp macro="" textlink="">
          <xdr:nvSpPr>
            <xdr:cNvPr id="19515" name="UpMember2_1" hidden="1">
              <a:extLst>
                <a:ext uri="{63B3BB69-23CF-44E3-9099-C40C66FF867C}">
                  <a14:compatExt spid="_x0000_s19515"/>
                </a:ext>
                <a:ext uri="{FF2B5EF4-FFF2-40B4-BE49-F238E27FC236}">
                  <a16:creationId xmlns:a16="http://schemas.microsoft.com/office/drawing/2014/main" id="{00000000-0008-0000-0200-00003B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12700</xdr:colOff>
          <xdr:row>94</xdr:row>
          <xdr:rowOff>0</xdr:rowOff>
        </xdr:from>
        <xdr:to>
          <xdr:col>16</xdr:col>
          <xdr:colOff>0</xdr:colOff>
          <xdr:row>95</xdr:row>
          <xdr:rowOff>12700</xdr:rowOff>
        </xdr:to>
        <xdr:sp macro="" textlink="">
          <xdr:nvSpPr>
            <xdr:cNvPr id="19516" name="DownMember2_1" hidden="1">
              <a:extLst>
                <a:ext uri="{63B3BB69-23CF-44E3-9099-C40C66FF867C}">
                  <a14:compatExt spid="_x0000_s19516"/>
                </a:ext>
                <a:ext uri="{FF2B5EF4-FFF2-40B4-BE49-F238E27FC236}">
                  <a16:creationId xmlns:a16="http://schemas.microsoft.com/office/drawing/2014/main" id="{00000000-0008-0000-0200-00003C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97</xdr:row>
          <xdr:rowOff>12700</xdr:rowOff>
        </xdr:from>
        <xdr:to>
          <xdr:col>13</xdr:col>
          <xdr:colOff>0</xdr:colOff>
          <xdr:row>98</xdr:row>
          <xdr:rowOff>12700</xdr:rowOff>
        </xdr:to>
        <xdr:sp macro="" textlink="">
          <xdr:nvSpPr>
            <xdr:cNvPr id="19517" name="AddedMember2_2" hidden="1">
              <a:extLst>
                <a:ext uri="{63B3BB69-23CF-44E3-9099-C40C66FF867C}">
                  <a14:compatExt spid="_x0000_s19517"/>
                </a:ext>
                <a:ext uri="{FF2B5EF4-FFF2-40B4-BE49-F238E27FC236}">
                  <a16:creationId xmlns:a16="http://schemas.microsoft.com/office/drawing/2014/main" id="{00000000-0008-0000-0200-00003D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736600</xdr:colOff>
          <xdr:row>97</xdr:row>
          <xdr:rowOff>12700</xdr:rowOff>
        </xdr:from>
        <xdr:to>
          <xdr:col>14</xdr:col>
          <xdr:colOff>0</xdr:colOff>
          <xdr:row>98</xdr:row>
          <xdr:rowOff>12700</xdr:rowOff>
        </xdr:to>
        <xdr:sp macro="" textlink="">
          <xdr:nvSpPr>
            <xdr:cNvPr id="19518" name="ChangeMember2_2" hidden="1">
              <a:extLst>
                <a:ext uri="{63B3BB69-23CF-44E3-9099-C40C66FF867C}">
                  <a14:compatExt spid="_x0000_s19518"/>
                </a:ext>
                <a:ext uri="{FF2B5EF4-FFF2-40B4-BE49-F238E27FC236}">
                  <a16:creationId xmlns:a16="http://schemas.microsoft.com/office/drawing/2014/main" id="{00000000-0008-0000-0200-00003E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97</xdr:row>
          <xdr:rowOff>12700</xdr:rowOff>
        </xdr:from>
        <xdr:to>
          <xdr:col>15</xdr:col>
          <xdr:colOff>0</xdr:colOff>
          <xdr:row>98</xdr:row>
          <xdr:rowOff>12700</xdr:rowOff>
        </xdr:to>
        <xdr:sp macro="" textlink="">
          <xdr:nvSpPr>
            <xdr:cNvPr id="19519" name="UpMember2_2" hidden="1">
              <a:extLst>
                <a:ext uri="{63B3BB69-23CF-44E3-9099-C40C66FF867C}">
                  <a14:compatExt spid="_x0000_s19519"/>
                </a:ext>
                <a:ext uri="{FF2B5EF4-FFF2-40B4-BE49-F238E27FC236}">
                  <a16:creationId xmlns:a16="http://schemas.microsoft.com/office/drawing/2014/main" id="{00000000-0008-0000-0200-00003F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12700</xdr:colOff>
          <xdr:row>97</xdr:row>
          <xdr:rowOff>12700</xdr:rowOff>
        </xdr:from>
        <xdr:to>
          <xdr:col>16</xdr:col>
          <xdr:colOff>0</xdr:colOff>
          <xdr:row>98</xdr:row>
          <xdr:rowOff>12700</xdr:rowOff>
        </xdr:to>
        <xdr:sp macro="" textlink="">
          <xdr:nvSpPr>
            <xdr:cNvPr id="19520" name="DownMember2_2" hidden="1">
              <a:extLst>
                <a:ext uri="{63B3BB69-23CF-44E3-9099-C40C66FF867C}">
                  <a14:compatExt spid="_x0000_s19520"/>
                </a:ext>
                <a:ext uri="{FF2B5EF4-FFF2-40B4-BE49-F238E27FC236}">
                  <a16:creationId xmlns:a16="http://schemas.microsoft.com/office/drawing/2014/main" id="{00000000-0008-0000-0200-000040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100</xdr:row>
          <xdr:rowOff>0</xdr:rowOff>
        </xdr:from>
        <xdr:to>
          <xdr:col>12</xdr:col>
          <xdr:colOff>685800</xdr:colOff>
          <xdr:row>101</xdr:row>
          <xdr:rowOff>0</xdr:rowOff>
        </xdr:to>
        <xdr:sp macro="" textlink="">
          <xdr:nvSpPr>
            <xdr:cNvPr id="19540" name="AddedMember2_3" hidden="1">
              <a:extLst>
                <a:ext uri="{63B3BB69-23CF-44E3-9099-C40C66FF867C}">
                  <a14:compatExt spid="_x0000_s19540"/>
                </a:ext>
                <a:ext uri="{FF2B5EF4-FFF2-40B4-BE49-F238E27FC236}">
                  <a16:creationId xmlns:a16="http://schemas.microsoft.com/office/drawing/2014/main" id="{00000000-0008-0000-0200-000054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100</xdr:row>
          <xdr:rowOff>0</xdr:rowOff>
        </xdr:from>
        <xdr:to>
          <xdr:col>13</xdr:col>
          <xdr:colOff>685800</xdr:colOff>
          <xdr:row>101</xdr:row>
          <xdr:rowOff>0</xdr:rowOff>
        </xdr:to>
        <xdr:sp macro="" textlink="">
          <xdr:nvSpPr>
            <xdr:cNvPr id="19541" name="ChangeMember2_3" hidden="1">
              <a:extLst>
                <a:ext uri="{63B3BB69-23CF-44E3-9099-C40C66FF867C}">
                  <a14:compatExt spid="_x0000_s19541"/>
                </a:ext>
                <a:ext uri="{FF2B5EF4-FFF2-40B4-BE49-F238E27FC236}">
                  <a16:creationId xmlns:a16="http://schemas.microsoft.com/office/drawing/2014/main" id="{00000000-0008-0000-0200-000055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100</xdr:row>
          <xdr:rowOff>0</xdr:rowOff>
        </xdr:from>
        <xdr:to>
          <xdr:col>14</xdr:col>
          <xdr:colOff>685800</xdr:colOff>
          <xdr:row>101</xdr:row>
          <xdr:rowOff>0</xdr:rowOff>
        </xdr:to>
        <xdr:sp macro="" textlink="">
          <xdr:nvSpPr>
            <xdr:cNvPr id="19542" name="UpMember2_3" hidden="1">
              <a:extLst>
                <a:ext uri="{63B3BB69-23CF-44E3-9099-C40C66FF867C}">
                  <a14:compatExt spid="_x0000_s19542"/>
                </a:ext>
                <a:ext uri="{FF2B5EF4-FFF2-40B4-BE49-F238E27FC236}">
                  <a16:creationId xmlns:a16="http://schemas.microsoft.com/office/drawing/2014/main" id="{00000000-0008-0000-0200-000056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698500</xdr:colOff>
          <xdr:row>100</xdr:row>
          <xdr:rowOff>0</xdr:rowOff>
        </xdr:from>
        <xdr:to>
          <xdr:col>15</xdr:col>
          <xdr:colOff>679450</xdr:colOff>
          <xdr:row>101</xdr:row>
          <xdr:rowOff>0</xdr:rowOff>
        </xdr:to>
        <xdr:sp macro="" textlink="">
          <xdr:nvSpPr>
            <xdr:cNvPr id="19543" name="DownMember2_3" hidden="1">
              <a:extLst>
                <a:ext uri="{63B3BB69-23CF-44E3-9099-C40C66FF867C}">
                  <a14:compatExt spid="_x0000_s19543"/>
                </a:ext>
                <a:ext uri="{FF2B5EF4-FFF2-40B4-BE49-F238E27FC236}">
                  <a16:creationId xmlns:a16="http://schemas.microsoft.com/office/drawing/2014/main" id="{00000000-0008-0000-0200-0000574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absolute">
    <xdr:from>
      <xdr:col>4</xdr:col>
      <xdr:colOff>161925</xdr:colOff>
      <xdr:row>1</xdr:row>
      <xdr:rowOff>76200</xdr:rowOff>
    </xdr:from>
    <xdr:to>
      <xdr:col>5</xdr:col>
      <xdr:colOff>742950</xdr:colOff>
      <xdr:row>3</xdr:row>
      <xdr:rowOff>47625</xdr:rowOff>
    </xdr:to>
    <xdr:sp macro="[0]!Refresh" textlink="">
      <xdr:nvSpPr>
        <xdr:cNvPr id="2" name="Rectangle: Rounded Corners 1">
          <a:extLst>
            <a:ext uri="{FF2B5EF4-FFF2-40B4-BE49-F238E27FC236}">
              <a16:creationId xmlns:a16="http://schemas.microsoft.com/office/drawing/2014/main" id="{00000000-0008-0000-0300-000002000000}"/>
            </a:ext>
          </a:extLst>
        </xdr:cNvPr>
        <xdr:cNvSpPr/>
      </xdr:nvSpPr>
      <xdr:spPr>
        <a:xfrm>
          <a:off x="2667000" y="266700"/>
          <a:ext cx="1628775" cy="352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Refresh Workbook</a:t>
          </a: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9697" name="FPMExcelClientSheetOptionstb1" hidden="1">
              <a:extLst>
                <a:ext uri="{63B3BB69-23CF-44E3-9099-C40C66FF867C}">
                  <a14:compatExt spid="_x0000_s29697"/>
                </a:ext>
                <a:ext uri="{FF2B5EF4-FFF2-40B4-BE49-F238E27FC236}">
                  <a16:creationId xmlns:a16="http://schemas.microsoft.com/office/drawing/2014/main" id="{00000000-0008-0000-0300-0000017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9698" name="CustomMemberDispatchertb1" hidden="1">
              <a:extLst>
                <a:ext uri="{63B3BB69-23CF-44E3-9099-C40C66FF867C}">
                  <a14:compatExt spid="_x0000_s29698"/>
                </a:ext>
                <a:ext uri="{FF2B5EF4-FFF2-40B4-BE49-F238E27FC236}">
                  <a16:creationId xmlns:a16="http://schemas.microsoft.com/office/drawing/2014/main" id="{00000000-0008-0000-0300-0000027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1485900</xdr:colOff>
          <xdr:row>4</xdr:row>
          <xdr:rowOff>69850</xdr:rowOff>
        </xdr:from>
        <xdr:to>
          <xdr:col>7</xdr:col>
          <xdr:colOff>1612900</xdr:colOff>
          <xdr:row>4</xdr:row>
          <xdr:rowOff>342900</xdr:rowOff>
        </xdr:to>
        <xdr:sp macro="" textlink="">
          <xdr:nvSpPr>
            <xdr:cNvPr id="137217" name="cbApplyLevelFormatting" hidden="1">
              <a:extLst>
                <a:ext uri="{63B3BB69-23CF-44E3-9099-C40C66FF867C}">
                  <a14:compatExt spid="_x0000_s137217"/>
                </a:ext>
                <a:ext uri="{FF2B5EF4-FFF2-40B4-BE49-F238E27FC236}">
                  <a16:creationId xmlns:a16="http://schemas.microsoft.com/office/drawing/2014/main" id="{00000000-0008-0000-0400-0000011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2800350</xdr:colOff>
          <xdr:row>6</xdr:row>
          <xdr:rowOff>0</xdr:rowOff>
        </xdr:to>
        <xdr:sp macro="" textlink="">
          <xdr:nvSpPr>
            <xdr:cNvPr id="137218" name="Group Box 2" hidden="1">
              <a:extLst>
                <a:ext uri="{63B3BB69-23CF-44E3-9099-C40C66FF867C}">
                  <a14:compatExt spid="_x0000_s137218"/>
                </a:ext>
                <a:ext uri="{FF2B5EF4-FFF2-40B4-BE49-F238E27FC236}">
                  <a16:creationId xmlns:a16="http://schemas.microsoft.com/office/drawing/2014/main" id="{00000000-0008-0000-0400-000002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xdr:row>
          <xdr:rowOff>57150</xdr:rowOff>
        </xdr:from>
        <xdr:to>
          <xdr:col>3</xdr:col>
          <xdr:colOff>2609850</xdr:colOff>
          <xdr:row>5</xdr:row>
          <xdr:rowOff>279400</xdr:rowOff>
        </xdr:to>
        <xdr:sp macro="" textlink="">
          <xdr:nvSpPr>
            <xdr:cNvPr id="137219" name="obLevelRowFirst" hidden="1">
              <a:extLst>
                <a:ext uri="{63B3BB69-23CF-44E3-9099-C40C66FF867C}">
                  <a14:compatExt spid="_x0000_s137219"/>
                </a:ext>
                <a:ext uri="{FF2B5EF4-FFF2-40B4-BE49-F238E27FC236}">
                  <a16:creationId xmlns:a16="http://schemas.microsoft.com/office/drawing/2014/main" id="{00000000-0008-0000-0400-000003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xdr:row>
          <xdr:rowOff>57150</xdr:rowOff>
        </xdr:from>
        <xdr:to>
          <xdr:col>3</xdr:col>
          <xdr:colOff>450850</xdr:colOff>
          <xdr:row>5</xdr:row>
          <xdr:rowOff>279400</xdr:rowOff>
        </xdr:to>
        <xdr:sp macro="" textlink="">
          <xdr:nvSpPr>
            <xdr:cNvPr id="137220" name="obLevelColumnFirst" hidden="1">
              <a:extLst>
                <a:ext uri="{63B3BB69-23CF-44E3-9099-C40C66FF867C}">
                  <a14:compatExt spid="_x0000_s137220"/>
                </a:ext>
                <a:ext uri="{FF2B5EF4-FFF2-40B4-BE49-F238E27FC236}">
                  <a16:creationId xmlns:a16="http://schemas.microsoft.com/office/drawing/2014/main" id="{00000000-0008-0000-0400-000004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2755900</xdr:colOff>
          <xdr:row>5</xdr:row>
          <xdr:rowOff>0</xdr:rowOff>
        </xdr:from>
        <xdr:to>
          <xdr:col>10</xdr:col>
          <xdr:colOff>171450</xdr:colOff>
          <xdr:row>6</xdr:row>
          <xdr:rowOff>0</xdr:rowOff>
        </xdr:to>
        <xdr:sp macro="" textlink="">
          <xdr:nvSpPr>
            <xdr:cNvPr id="137221" name="Group Box 5" hidden="1">
              <a:extLst>
                <a:ext uri="{63B3BB69-23CF-44E3-9099-C40C66FF867C}">
                  <a14:compatExt spid="_x0000_s137221"/>
                </a:ext>
                <a:ext uri="{FF2B5EF4-FFF2-40B4-BE49-F238E27FC236}">
                  <a16:creationId xmlns:a16="http://schemas.microsoft.com/office/drawing/2014/main" id="{00000000-0008-0000-0400-000005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4229100</xdr:colOff>
          <xdr:row>5</xdr:row>
          <xdr:rowOff>57150</xdr:rowOff>
        </xdr:from>
        <xdr:to>
          <xdr:col>6</xdr:col>
          <xdr:colOff>171450</xdr:colOff>
          <xdr:row>5</xdr:row>
          <xdr:rowOff>279400</xdr:rowOff>
        </xdr:to>
        <xdr:sp macro="" textlink="">
          <xdr:nvSpPr>
            <xdr:cNvPr id="137222" name="obRelativeLevelHierarchy" hidden="1">
              <a:extLst>
                <a:ext uri="{63B3BB69-23CF-44E3-9099-C40C66FF867C}">
                  <a14:compatExt spid="_x0000_s137222"/>
                </a:ext>
                <a:ext uri="{FF2B5EF4-FFF2-40B4-BE49-F238E27FC236}">
                  <a16:creationId xmlns:a16="http://schemas.microsoft.com/office/drawing/2014/main" id="{00000000-0008-0000-0400-000006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Relative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2774950</xdr:colOff>
          <xdr:row>5</xdr:row>
          <xdr:rowOff>57150</xdr:rowOff>
        </xdr:from>
        <xdr:to>
          <xdr:col>3</xdr:col>
          <xdr:colOff>4203700</xdr:colOff>
          <xdr:row>5</xdr:row>
          <xdr:rowOff>279400</xdr:rowOff>
        </xdr:to>
        <xdr:sp macro="" textlink="">
          <xdr:nvSpPr>
            <xdr:cNvPr id="137223" name="obDatabaseLevelHierarchy" hidden="1">
              <a:extLst>
                <a:ext uri="{63B3BB69-23CF-44E3-9099-C40C66FF867C}">
                  <a14:compatExt spid="_x0000_s137223"/>
                </a:ext>
                <a:ext uri="{FF2B5EF4-FFF2-40B4-BE49-F238E27FC236}">
                  <a16:creationId xmlns:a16="http://schemas.microsoft.com/office/drawing/2014/main" id="{00000000-0008-0000-0400-000007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Structure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0</xdr:rowOff>
        </xdr:from>
        <xdr:to>
          <xdr:col>11</xdr:col>
          <xdr:colOff>2419350</xdr:colOff>
          <xdr:row>5</xdr:row>
          <xdr:rowOff>323850</xdr:rowOff>
        </xdr:to>
        <xdr:sp macro="" textlink="">
          <xdr:nvSpPr>
            <xdr:cNvPr id="137224" name="cbApplyLevelFromTopToBottom" hidden="1">
              <a:extLst>
                <a:ext uri="{63B3BB69-23CF-44E3-9099-C40C66FF867C}">
                  <a14:compatExt spid="_x0000_s137224"/>
                </a:ext>
                <a:ext uri="{FF2B5EF4-FFF2-40B4-BE49-F238E27FC236}">
                  <a16:creationId xmlns:a16="http://schemas.microsoft.com/office/drawing/2014/main" id="{00000000-0008-0000-0400-000008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Start formatting from the lowest level displayed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19050</xdr:colOff>
          <xdr:row>6</xdr:row>
          <xdr:rowOff>133350</xdr:rowOff>
        </xdr:from>
        <xdr:to>
          <xdr:col>11</xdr:col>
          <xdr:colOff>1136650</xdr:colOff>
          <xdr:row>7</xdr:row>
          <xdr:rowOff>127000</xdr:rowOff>
        </xdr:to>
        <xdr:sp macro="" textlink="">
          <xdr:nvSpPr>
            <xdr:cNvPr id="137225" name="LVL1tbFormattingByLevel" hidden="1">
              <a:extLst>
                <a:ext uri="{63B3BB69-23CF-44E3-9099-C40C66FF867C}">
                  <a14:compatExt spid="_x0000_s137225"/>
                </a:ext>
                <a:ext uri="{FF2B5EF4-FFF2-40B4-BE49-F238E27FC236}">
                  <a16:creationId xmlns:a16="http://schemas.microsoft.com/office/drawing/2014/main" id="{00000000-0008-0000-0400-000009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6</xdr:row>
          <xdr:rowOff>0</xdr:rowOff>
        </xdr:from>
        <xdr:to>
          <xdr:col>12</xdr:col>
          <xdr:colOff>0</xdr:colOff>
          <xdr:row>8</xdr:row>
          <xdr:rowOff>0</xdr:rowOff>
        </xdr:to>
        <xdr:sp macro="" textlink="">
          <xdr:nvSpPr>
            <xdr:cNvPr id="137226" name="Group Box 10" hidden="1">
              <a:extLst>
                <a:ext uri="{63B3BB69-23CF-44E3-9099-C40C66FF867C}">
                  <a14:compatExt spid="_x0000_s137226"/>
                </a:ext>
                <a:ext uri="{FF2B5EF4-FFF2-40B4-BE49-F238E27FC236}">
                  <a16:creationId xmlns:a16="http://schemas.microsoft.com/office/drawing/2014/main" id="{00000000-0008-0000-0400-00000A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228600</xdr:rowOff>
        </xdr:from>
        <xdr:to>
          <xdr:col>11</xdr:col>
          <xdr:colOff>2108200</xdr:colOff>
          <xdr:row>7</xdr:row>
          <xdr:rowOff>152400</xdr:rowOff>
        </xdr:to>
        <xdr:sp macro="" textlink="">
          <xdr:nvSpPr>
            <xdr:cNvPr id="137227" name="obLevelOuterFirst" hidden="1">
              <a:extLst>
                <a:ext uri="{63B3BB69-23CF-44E3-9099-C40C66FF867C}">
                  <a14:compatExt spid="_x0000_s137227"/>
                </a:ext>
                <a:ext uri="{FF2B5EF4-FFF2-40B4-BE49-F238E27FC236}">
                  <a16:creationId xmlns:a16="http://schemas.microsoft.com/office/drawing/2014/main" id="{00000000-0008-0000-0400-00000B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19050</xdr:rowOff>
        </xdr:from>
        <xdr:to>
          <xdr:col>11</xdr:col>
          <xdr:colOff>2108200</xdr:colOff>
          <xdr:row>6</xdr:row>
          <xdr:rowOff>241300</xdr:rowOff>
        </xdr:to>
        <xdr:sp macro="" textlink="">
          <xdr:nvSpPr>
            <xdr:cNvPr id="137228" name="obLevelInnerFirst" hidden="1">
              <a:extLst>
                <a:ext uri="{63B3BB69-23CF-44E3-9099-C40C66FF867C}">
                  <a14:compatExt spid="_x0000_s137228"/>
                </a:ext>
                <a:ext uri="{FF2B5EF4-FFF2-40B4-BE49-F238E27FC236}">
                  <a16:creationId xmlns:a16="http://schemas.microsoft.com/office/drawing/2014/main" id="{00000000-0008-0000-0400-00000C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xdr:row>
          <xdr:rowOff>203200</xdr:rowOff>
        </xdr:from>
        <xdr:to>
          <xdr:col>2</xdr:col>
          <xdr:colOff>1022350</xdr:colOff>
          <xdr:row>11</xdr:row>
          <xdr:rowOff>38100</xdr:rowOff>
        </xdr:to>
        <xdr:sp macro="" textlink="">
          <xdr:nvSpPr>
            <xdr:cNvPr id="137229" name="cbUseDefaultLevelFirst" hidden="1">
              <a:extLst>
                <a:ext uri="{63B3BB69-23CF-44E3-9099-C40C66FF867C}">
                  <a14:compatExt spid="_x0000_s137229"/>
                </a:ext>
                <a:ext uri="{FF2B5EF4-FFF2-40B4-BE49-F238E27FC236}">
                  <a16:creationId xmlns:a16="http://schemas.microsoft.com/office/drawing/2014/main" id="{00000000-0008-0000-0400-00000D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xdr:row>
          <xdr:rowOff>0</xdr:rowOff>
        </xdr:from>
        <xdr:to>
          <xdr:col>2</xdr:col>
          <xdr:colOff>1022350</xdr:colOff>
          <xdr:row>14</xdr:row>
          <xdr:rowOff>38100</xdr:rowOff>
        </xdr:to>
        <xdr:sp macro="" textlink="">
          <xdr:nvSpPr>
            <xdr:cNvPr id="137230" name="cbUseLeafLevelFirst" hidden="1">
              <a:extLst>
                <a:ext uri="{63B3BB69-23CF-44E3-9099-C40C66FF867C}">
                  <a14:compatExt spid="_x0000_s137230"/>
                </a:ext>
                <a:ext uri="{FF2B5EF4-FFF2-40B4-BE49-F238E27FC236}">
                  <a16:creationId xmlns:a16="http://schemas.microsoft.com/office/drawing/2014/main" id="{00000000-0008-0000-0400-00000E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15</xdr:row>
          <xdr:rowOff>38100</xdr:rowOff>
        </xdr:from>
        <xdr:to>
          <xdr:col>2</xdr:col>
          <xdr:colOff>1022350</xdr:colOff>
          <xdr:row>16</xdr:row>
          <xdr:rowOff>114300</xdr:rowOff>
        </xdr:to>
        <xdr:sp macro="" textlink="">
          <xdr:nvSpPr>
            <xdr:cNvPr id="137231" name="cbUseSpecificLevelFirst" hidden="1">
              <a:extLst>
                <a:ext uri="{63B3BB69-23CF-44E3-9099-C40C66FF867C}">
                  <a14:compatExt spid="_x0000_s137231"/>
                </a:ext>
                <a:ext uri="{FF2B5EF4-FFF2-40B4-BE49-F238E27FC236}">
                  <a16:creationId xmlns:a16="http://schemas.microsoft.com/office/drawing/2014/main" id="{00000000-0008-0000-0400-00000F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25</xdr:row>
          <xdr:rowOff>31750</xdr:rowOff>
        </xdr:from>
        <xdr:to>
          <xdr:col>3</xdr:col>
          <xdr:colOff>2127250</xdr:colOff>
          <xdr:row>26</xdr:row>
          <xdr:rowOff>12700</xdr:rowOff>
        </xdr:to>
        <xdr:sp macro="" textlink="">
          <xdr:nvSpPr>
            <xdr:cNvPr id="137232" name="AddLevelFirst" hidden="1">
              <a:extLst>
                <a:ext uri="{63B3BB69-23CF-44E3-9099-C40C66FF867C}">
                  <a14:compatExt spid="_x0000_s137232"/>
                </a:ext>
                <a:ext uri="{FF2B5EF4-FFF2-40B4-BE49-F238E27FC236}">
                  <a16:creationId xmlns:a16="http://schemas.microsoft.com/office/drawing/2014/main" id="{00000000-0008-0000-0400-000010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2228850</xdr:colOff>
          <xdr:row>25</xdr:row>
          <xdr:rowOff>31750</xdr:rowOff>
        </xdr:from>
        <xdr:to>
          <xdr:col>3</xdr:col>
          <xdr:colOff>4298950</xdr:colOff>
          <xdr:row>26</xdr:row>
          <xdr:rowOff>12700</xdr:rowOff>
        </xdr:to>
        <xdr:sp macro="" textlink="">
          <xdr:nvSpPr>
            <xdr:cNvPr id="137233" name="RemoveLevelFirst" hidden="1">
              <a:extLst>
                <a:ext uri="{63B3BB69-23CF-44E3-9099-C40C66FF867C}">
                  <a14:compatExt spid="_x0000_s137233"/>
                </a:ext>
                <a:ext uri="{FF2B5EF4-FFF2-40B4-BE49-F238E27FC236}">
                  <a16:creationId xmlns:a16="http://schemas.microsoft.com/office/drawing/2014/main" id="{00000000-0008-0000-0400-000011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19050</xdr:colOff>
          <xdr:row>27</xdr:row>
          <xdr:rowOff>146050</xdr:rowOff>
        </xdr:from>
        <xdr:to>
          <xdr:col>11</xdr:col>
          <xdr:colOff>1136650</xdr:colOff>
          <xdr:row>28</xdr:row>
          <xdr:rowOff>133350</xdr:rowOff>
        </xdr:to>
        <xdr:sp macro="" textlink="">
          <xdr:nvSpPr>
            <xdr:cNvPr id="137234" name="LVL2tbFormattingByLevel" hidden="1">
              <a:extLst>
                <a:ext uri="{63B3BB69-23CF-44E3-9099-C40C66FF867C}">
                  <a14:compatExt spid="_x0000_s137234"/>
                </a:ext>
                <a:ext uri="{FF2B5EF4-FFF2-40B4-BE49-F238E27FC236}">
                  <a16:creationId xmlns:a16="http://schemas.microsoft.com/office/drawing/2014/main" id="{00000000-0008-0000-0400-000012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27</xdr:row>
          <xdr:rowOff>0</xdr:rowOff>
        </xdr:from>
        <xdr:to>
          <xdr:col>12</xdr:col>
          <xdr:colOff>0</xdr:colOff>
          <xdr:row>29</xdr:row>
          <xdr:rowOff>0</xdr:rowOff>
        </xdr:to>
        <xdr:sp macro="" textlink="">
          <xdr:nvSpPr>
            <xdr:cNvPr id="137235" name="Group Box 19" hidden="1">
              <a:extLst>
                <a:ext uri="{63B3BB69-23CF-44E3-9099-C40C66FF867C}">
                  <a14:compatExt spid="_x0000_s137235"/>
                </a:ext>
                <a:ext uri="{FF2B5EF4-FFF2-40B4-BE49-F238E27FC236}">
                  <a16:creationId xmlns:a16="http://schemas.microsoft.com/office/drawing/2014/main" id="{00000000-0008-0000-0400-000013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228600</xdr:rowOff>
        </xdr:from>
        <xdr:to>
          <xdr:col>11</xdr:col>
          <xdr:colOff>2108200</xdr:colOff>
          <xdr:row>28</xdr:row>
          <xdr:rowOff>171450</xdr:rowOff>
        </xdr:to>
        <xdr:sp macro="" textlink="">
          <xdr:nvSpPr>
            <xdr:cNvPr id="137236" name="obLevelOuterSecond" hidden="1">
              <a:extLst>
                <a:ext uri="{63B3BB69-23CF-44E3-9099-C40C66FF867C}">
                  <a14:compatExt spid="_x0000_s137236"/>
                </a:ext>
                <a:ext uri="{FF2B5EF4-FFF2-40B4-BE49-F238E27FC236}">
                  <a16:creationId xmlns:a16="http://schemas.microsoft.com/office/drawing/2014/main" id="{00000000-0008-0000-0400-000014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38100</xdr:rowOff>
        </xdr:from>
        <xdr:to>
          <xdr:col>11</xdr:col>
          <xdr:colOff>2108200</xdr:colOff>
          <xdr:row>27</xdr:row>
          <xdr:rowOff>247650</xdr:rowOff>
        </xdr:to>
        <xdr:sp macro="" textlink="">
          <xdr:nvSpPr>
            <xdr:cNvPr id="137237" name="obLevelInnerSecond" hidden="1">
              <a:extLst>
                <a:ext uri="{63B3BB69-23CF-44E3-9099-C40C66FF867C}">
                  <a14:compatExt spid="_x0000_s137237"/>
                </a:ext>
                <a:ext uri="{FF2B5EF4-FFF2-40B4-BE49-F238E27FC236}">
                  <a16:creationId xmlns:a16="http://schemas.microsoft.com/office/drawing/2014/main" id="{00000000-0008-0000-0400-000015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30</xdr:row>
          <xdr:rowOff>0</xdr:rowOff>
        </xdr:from>
        <xdr:to>
          <xdr:col>2</xdr:col>
          <xdr:colOff>1022350</xdr:colOff>
          <xdr:row>32</xdr:row>
          <xdr:rowOff>38100</xdr:rowOff>
        </xdr:to>
        <xdr:sp macro="" textlink="">
          <xdr:nvSpPr>
            <xdr:cNvPr id="137238" name="cbUseDefaultLevelSecond" hidden="1">
              <a:extLst>
                <a:ext uri="{63B3BB69-23CF-44E3-9099-C40C66FF867C}">
                  <a14:compatExt spid="_x0000_s137238"/>
                </a:ext>
                <a:ext uri="{FF2B5EF4-FFF2-40B4-BE49-F238E27FC236}">
                  <a16:creationId xmlns:a16="http://schemas.microsoft.com/office/drawing/2014/main" id="{00000000-0008-0000-0400-000016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33</xdr:row>
          <xdr:rowOff>0</xdr:rowOff>
        </xdr:from>
        <xdr:to>
          <xdr:col>2</xdr:col>
          <xdr:colOff>1022350</xdr:colOff>
          <xdr:row>35</xdr:row>
          <xdr:rowOff>38100</xdr:rowOff>
        </xdr:to>
        <xdr:sp macro="" textlink="">
          <xdr:nvSpPr>
            <xdr:cNvPr id="137239" name="cbUseLeafLevelSecond" hidden="1">
              <a:extLst>
                <a:ext uri="{63B3BB69-23CF-44E3-9099-C40C66FF867C}">
                  <a14:compatExt spid="_x0000_s137239"/>
                </a:ext>
                <a:ext uri="{FF2B5EF4-FFF2-40B4-BE49-F238E27FC236}">
                  <a16:creationId xmlns:a16="http://schemas.microsoft.com/office/drawing/2014/main" id="{00000000-0008-0000-0400-000017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36</xdr:row>
          <xdr:rowOff>38100</xdr:rowOff>
        </xdr:from>
        <xdr:to>
          <xdr:col>2</xdr:col>
          <xdr:colOff>1022350</xdr:colOff>
          <xdr:row>37</xdr:row>
          <xdr:rowOff>114300</xdr:rowOff>
        </xdr:to>
        <xdr:sp macro="" textlink="">
          <xdr:nvSpPr>
            <xdr:cNvPr id="137240" name="cbUseSpecificLevelSecond" hidden="1">
              <a:extLst>
                <a:ext uri="{63B3BB69-23CF-44E3-9099-C40C66FF867C}">
                  <a14:compatExt spid="_x0000_s137240"/>
                </a:ext>
                <a:ext uri="{FF2B5EF4-FFF2-40B4-BE49-F238E27FC236}">
                  <a16:creationId xmlns:a16="http://schemas.microsoft.com/office/drawing/2014/main" id="{00000000-0008-0000-0400-000018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46</xdr:row>
          <xdr:rowOff>19050</xdr:rowOff>
        </xdr:from>
        <xdr:to>
          <xdr:col>3</xdr:col>
          <xdr:colOff>2127250</xdr:colOff>
          <xdr:row>47</xdr:row>
          <xdr:rowOff>0</xdr:rowOff>
        </xdr:to>
        <xdr:sp macro="" textlink="">
          <xdr:nvSpPr>
            <xdr:cNvPr id="137241" name="AddLevelSecond" hidden="1">
              <a:extLst>
                <a:ext uri="{63B3BB69-23CF-44E3-9099-C40C66FF867C}">
                  <a14:compatExt spid="_x0000_s137241"/>
                </a:ext>
                <a:ext uri="{FF2B5EF4-FFF2-40B4-BE49-F238E27FC236}">
                  <a16:creationId xmlns:a16="http://schemas.microsoft.com/office/drawing/2014/main" id="{00000000-0008-0000-0400-000019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2228850</xdr:colOff>
          <xdr:row>46</xdr:row>
          <xdr:rowOff>19050</xdr:rowOff>
        </xdr:from>
        <xdr:to>
          <xdr:col>3</xdr:col>
          <xdr:colOff>4298950</xdr:colOff>
          <xdr:row>47</xdr:row>
          <xdr:rowOff>0</xdr:rowOff>
        </xdr:to>
        <xdr:sp macro="" textlink="">
          <xdr:nvSpPr>
            <xdr:cNvPr id="137242" name="RemoveLevelSecond" hidden="1">
              <a:extLst>
                <a:ext uri="{63B3BB69-23CF-44E3-9099-C40C66FF867C}">
                  <a14:compatExt spid="_x0000_s137242"/>
                </a:ext>
                <a:ext uri="{FF2B5EF4-FFF2-40B4-BE49-F238E27FC236}">
                  <a16:creationId xmlns:a16="http://schemas.microsoft.com/office/drawing/2014/main" id="{00000000-0008-0000-0400-00001A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51</xdr:row>
          <xdr:rowOff>69850</xdr:rowOff>
        </xdr:from>
        <xdr:to>
          <xdr:col>9</xdr:col>
          <xdr:colOff>603250</xdr:colOff>
          <xdr:row>51</xdr:row>
          <xdr:rowOff>342900</xdr:rowOff>
        </xdr:to>
        <xdr:sp macro="" textlink="">
          <xdr:nvSpPr>
            <xdr:cNvPr id="137243" name="cbApplyMemberFormatting" hidden="1">
              <a:extLst>
                <a:ext uri="{63B3BB69-23CF-44E3-9099-C40C66FF867C}">
                  <a14:compatExt spid="_x0000_s137243"/>
                </a:ext>
                <a:ext uri="{FF2B5EF4-FFF2-40B4-BE49-F238E27FC236}">
                  <a16:creationId xmlns:a16="http://schemas.microsoft.com/office/drawing/2014/main" id="{00000000-0008-0000-0400-00001B1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12</xdr:col>
          <xdr:colOff>0</xdr:colOff>
          <xdr:row>53</xdr:row>
          <xdr:rowOff>0</xdr:rowOff>
        </xdr:to>
        <xdr:sp macro="" textlink="">
          <xdr:nvSpPr>
            <xdr:cNvPr id="137244" name="Group Box 28" hidden="1">
              <a:extLst>
                <a:ext uri="{63B3BB69-23CF-44E3-9099-C40C66FF867C}">
                  <a14:compatExt spid="_x0000_s137244"/>
                </a:ext>
                <a:ext uri="{FF2B5EF4-FFF2-40B4-BE49-F238E27FC236}">
                  <a16:creationId xmlns:a16="http://schemas.microsoft.com/office/drawing/2014/main" id="{00000000-0008-0000-0400-00001C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52</xdr:row>
          <xdr:rowOff>57150</xdr:rowOff>
        </xdr:from>
        <xdr:to>
          <xdr:col>3</xdr:col>
          <xdr:colOff>2609850</xdr:colOff>
          <xdr:row>52</xdr:row>
          <xdr:rowOff>279400</xdr:rowOff>
        </xdr:to>
        <xdr:sp macro="" textlink="">
          <xdr:nvSpPr>
            <xdr:cNvPr id="137245" name="obMemberRowFirst" hidden="1">
              <a:extLst>
                <a:ext uri="{63B3BB69-23CF-44E3-9099-C40C66FF867C}">
                  <a14:compatExt spid="_x0000_s137245"/>
                </a:ext>
                <a:ext uri="{FF2B5EF4-FFF2-40B4-BE49-F238E27FC236}">
                  <a16:creationId xmlns:a16="http://schemas.microsoft.com/office/drawing/2014/main" id="{00000000-0008-0000-0400-00001D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52</xdr:row>
          <xdr:rowOff>57150</xdr:rowOff>
        </xdr:from>
        <xdr:to>
          <xdr:col>3</xdr:col>
          <xdr:colOff>450850</xdr:colOff>
          <xdr:row>52</xdr:row>
          <xdr:rowOff>279400</xdr:rowOff>
        </xdr:to>
        <xdr:sp macro="" textlink="">
          <xdr:nvSpPr>
            <xdr:cNvPr id="137246" name="obMemberColumnFirst" hidden="1">
              <a:extLst>
                <a:ext uri="{63B3BB69-23CF-44E3-9099-C40C66FF867C}">
                  <a14:compatExt spid="_x0000_s137246"/>
                </a:ext>
                <a:ext uri="{FF2B5EF4-FFF2-40B4-BE49-F238E27FC236}">
                  <a16:creationId xmlns:a16="http://schemas.microsoft.com/office/drawing/2014/main" id="{00000000-0008-0000-0400-00001E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54</xdr:row>
          <xdr:rowOff>203200</xdr:rowOff>
        </xdr:from>
        <xdr:to>
          <xdr:col>2</xdr:col>
          <xdr:colOff>1022350</xdr:colOff>
          <xdr:row>57</xdr:row>
          <xdr:rowOff>38100</xdr:rowOff>
        </xdr:to>
        <xdr:sp macro="" textlink="">
          <xdr:nvSpPr>
            <xdr:cNvPr id="137247" name="cbApplyCustomMemberDefaultFirst" hidden="1">
              <a:extLst>
                <a:ext uri="{63B3BB69-23CF-44E3-9099-C40C66FF867C}">
                  <a14:compatExt spid="_x0000_s137247"/>
                </a:ext>
                <a:ext uri="{FF2B5EF4-FFF2-40B4-BE49-F238E27FC236}">
                  <a16:creationId xmlns:a16="http://schemas.microsoft.com/office/drawing/2014/main" id="{00000000-0008-0000-0400-00001F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57</xdr:row>
          <xdr:rowOff>50800</xdr:rowOff>
        </xdr:from>
        <xdr:to>
          <xdr:col>2</xdr:col>
          <xdr:colOff>1022350</xdr:colOff>
          <xdr:row>60</xdr:row>
          <xdr:rowOff>38100</xdr:rowOff>
        </xdr:to>
        <xdr:sp macro="" textlink="">
          <xdr:nvSpPr>
            <xdr:cNvPr id="137248" name="cbApplyCalculatedMemberFirst" hidden="1">
              <a:extLst>
                <a:ext uri="{63B3BB69-23CF-44E3-9099-C40C66FF867C}">
                  <a14:compatExt spid="_x0000_s137248"/>
                </a:ext>
                <a:ext uri="{FF2B5EF4-FFF2-40B4-BE49-F238E27FC236}">
                  <a16:creationId xmlns:a16="http://schemas.microsoft.com/office/drawing/2014/main" id="{00000000-0008-0000-0400-000020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61</xdr:row>
          <xdr:rowOff>0</xdr:rowOff>
        </xdr:from>
        <xdr:to>
          <xdr:col>2</xdr:col>
          <xdr:colOff>1022350</xdr:colOff>
          <xdr:row>63</xdr:row>
          <xdr:rowOff>38100</xdr:rowOff>
        </xdr:to>
        <xdr:sp macro="" textlink="">
          <xdr:nvSpPr>
            <xdr:cNvPr id="137249" name="cbApplyImputableMemberFirst" hidden="1">
              <a:extLst>
                <a:ext uri="{63B3BB69-23CF-44E3-9099-C40C66FF867C}">
                  <a14:compatExt spid="_x0000_s137249"/>
                </a:ext>
                <a:ext uri="{FF2B5EF4-FFF2-40B4-BE49-F238E27FC236}">
                  <a16:creationId xmlns:a16="http://schemas.microsoft.com/office/drawing/2014/main" id="{00000000-0008-0000-0400-000021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64</xdr:row>
          <xdr:rowOff>0</xdr:rowOff>
        </xdr:from>
        <xdr:to>
          <xdr:col>2</xdr:col>
          <xdr:colOff>1022350</xdr:colOff>
          <xdr:row>66</xdr:row>
          <xdr:rowOff>38100</xdr:rowOff>
        </xdr:to>
        <xdr:sp macro="" textlink="">
          <xdr:nvSpPr>
            <xdr:cNvPr id="137250" name="cbApplyLocalMemberFirst" hidden="1">
              <a:extLst>
                <a:ext uri="{63B3BB69-23CF-44E3-9099-C40C66FF867C}">
                  <a14:compatExt spid="_x0000_s137250"/>
                </a:ext>
                <a:ext uri="{FF2B5EF4-FFF2-40B4-BE49-F238E27FC236}">
                  <a16:creationId xmlns:a16="http://schemas.microsoft.com/office/drawing/2014/main" id="{00000000-0008-0000-0400-000022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67</xdr:row>
          <xdr:rowOff>0</xdr:rowOff>
        </xdr:from>
        <xdr:to>
          <xdr:col>2</xdr:col>
          <xdr:colOff>1022350</xdr:colOff>
          <xdr:row>69</xdr:row>
          <xdr:rowOff>38100</xdr:rowOff>
        </xdr:to>
        <xdr:sp macro="" textlink="">
          <xdr:nvSpPr>
            <xdr:cNvPr id="137251" name="cbApplyChangedMemberFirst" hidden="1">
              <a:extLst>
                <a:ext uri="{63B3BB69-23CF-44E3-9099-C40C66FF867C}">
                  <a14:compatExt spid="_x0000_s137251"/>
                </a:ext>
                <a:ext uri="{FF2B5EF4-FFF2-40B4-BE49-F238E27FC236}">
                  <a16:creationId xmlns:a16="http://schemas.microsoft.com/office/drawing/2014/main" id="{00000000-0008-0000-0400-000023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70</xdr:row>
          <xdr:rowOff>50800</xdr:rowOff>
        </xdr:from>
        <xdr:to>
          <xdr:col>2</xdr:col>
          <xdr:colOff>1022350</xdr:colOff>
          <xdr:row>72</xdr:row>
          <xdr:rowOff>0</xdr:rowOff>
        </xdr:to>
        <xdr:sp macro="" textlink="">
          <xdr:nvSpPr>
            <xdr:cNvPr id="137252" name="cbApplySpecificMemberFirst" hidden="1">
              <a:extLst>
                <a:ext uri="{63B3BB69-23CF-44E3-9099-C40C66FF867C}">
                  <a14:compatExt spid="_x0000_s137252"/>
                </a:ext>
                <a:ext uri="{FF2B5EF4-FFF2-40B4-BE49-F238E27FC236}">
                  <a16:creationId xmlns:a16="http://schemas.microsoft.com/office/drawing/2014/main" id="{00000000-0008-0000-0400-000024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84</xdr:row>
          <xdr:rowOff>19050</xdr:rowOff>
        </xdr:from>
        <xdr:to>
          <xdr:col>3</xdr:col>
          <xdr:colOff>4286250</xdr:colOff>
          <xdr:row>84</xdr:row>
          <xdr:rowOff>266700</xdr:rowOff>
        </xdr:to>
        <xdr:sp macro="" textlink="">
          <xdr:nvSpPr>
            <xdr:cNvPr id="137253" name="AddMemberFirst" hidden="1">
              <a:extLst>
                <a:ext uri="{63B3BB69-23CF-44E3-9099-C40C66FF867C}">
                  <a14:compatExt spid="_x0000_s137253"/>
                </a:ext>
                <a:ext uri="{FF2B5EF4-FFF2-40B4-BE49-F238E27FC236}">
                  <a16:creationId xmlns:a16="http://schemas.microsoft.com/office/drawing/2014/main" id="{00000000-0008-0000-0400-000025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88</xdr:row>
          <xdr:rowOff>0</xdr:rowOff>
        </xdr:from>
        <xdr:to>
          <xdr:col>2</xdr:col>
          <xdr:colOff>1022350</xdr:colOff>
          <xdr:row>90</xdr:row>
          <xdr:rowOff>38100</xdr:rowOff>
        </xdr:to>
        <xdr:sp macro="" textlink="">
          <xdr:nvSpPr>
            <xdr:cNvPr id="137254" name="cbApplyCustomMemberDefaultSecond" hidden="1">
              <a:extLst>
                <a:ext uri="{63B3BB69-23CF-44E3-9099-C40C66FF867C}">
                  <a14:compatExt spid="_x0000_s137254"/>
                </a:ext>
                <a:ext uri="{FF2B5EF4-FFF2-40B4-BE49-F238E27FC236}">
                  <a16:creationId xmlns:a16="http://schemas.microsoft.com/office/drawing/2014/main" id="{00000000-0008-0000-0400-000026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90</xdr:row>
          <xdr:rowOff>50800</xdr:rowOff>
        </xdr:from>
        <xdr:to>
          <xdr:col>2</xdr:col>
          <xdr:colOff>1022350</xdr:colOff>
          <xdr:row>93</xdr:row>
          <xdr:rowOff>38100</xdr:rowOff>
        </xdr:to>
        <xdr:sp macro="" textlink="">
          <xdr:nvSpPr>
            <xdr:cNvPr id="137255" name="cbApplyCalculatedMemberSecond" hidden="1">
              <a:extLst>
                <a:ext uri="{63B3BB69-23CF-44E3-9099-C40C66FF867C}">
                  <a14:compatExt spid="_x0000_s137255"/>
                </a:ext>
                <a:ext uri="{FF2B5EF4-FFF2-40B4-BE49-F238E27FC236}">
                  <a16:creationId xmlns:a16="http://schemas.microsoft.com/office/drawing/2014/main" id="{00000000-0008-0000-0400-000027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94</xdr:row>
          <xdr:rowOff>0</xdr:rowOff>
        </xdr:from>
        <xdr:to>
          <xdr:col>2</xdr:col>
          <xdr:colOff>1022350</xdr:colOff>
          <xdr:row>96</xdr:row>
          <xdr:rowOff>38100</xdr:rowOff>
        </xdr:to>
        <xdr:sp macro="" textlink="">
          <xdr:nvSpPr>
            <xdr:cNvPr id="137256" name="cbApplyImputableMemberSecond" hidden="1">
              <a:extLst>
                <a:ext uri="{63B3BB69-23CF-44E3-9099-C40C66FF867C}">
                  <a14:compatExt spid="_x0000_s137256"/>
                </a:ext>
                <a:ext uri="{FF2B5EF4-FFF2-40B4-BE49-F238E27FC236}">
                  <a16:creationId xmlns:a16="http://schemas.microsoft.com/office/drawing/2014/main" id="{00000000-0008-0000-0400-000028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97</xdr:row>
          <xdr:rowOff>0</xdr:rowOff>
        </xdr:from>
        <xdr:to>
          <xdr:col>2</xdr:col>
          <xdr:colOff>1022350</xdr:colOff>
          <xdr:row>99</xdr:row>
          <xdr:rowOff>38100</xdr:rowOff>
        </xdr:to>
        <xdr:sp macro="" textlink="">
          <xdr:nvSpPr>
            <xdr:cNvPr id="137257" name="cbApplyLocalMemberSecond" hidden="1">
              <a:extLst>
                <a:ext uri="{63B3BB69-23CF-44E3-9099-C40C66FF867C}">
                  <a14:compatExt spid="_x0000_s137257"/>
                </a:ext>
                <a:ext uri="{FF2B5EF4-FFF2-40B4-BE49-F238E27FC236}">
                  <a16:creationId xmlns:a16="http://schemas.microsoft.com/office/drawing/2014/main" id="{00000000-0008-0000-0400-000029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100</xdr:row>
          <xdr:rowOff>0</xdr:rowOff>
        </xdr:from>
        <xdr:to>
          <xdr:col>2</xdr:col>
          <xdr:colOff>1022350</xdr:colOff>
          <xdr:row>102</xdr:row>
          <xdr:rowOff>38100</xdr:rowOff>
        </xdr:to>
        <xdr:sp macro="" textlink="">
          <xdr:nvSpPr>
            <xdr:cNvPr id="137258" name="cbApplyChangedMemberSecond" hidden="1">
              <a:extLst>
                <a:ext uri="{63B3BB69-23CF-44E3-9099-C40C66FF867C}">
                  <a14:compatExt spid="_x0000_s137258"/>
                </a:ext>
                <a:ext uri="{FF2B5EF4-FFF2-40B4-BE49-F238E27FC236}">
                  <a16:creationId xmlns:a16="http://schemas.microsoft.com/office/drawing/2014/main" id="{00000000-0008-0000-0400-00002A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103</xdr:row>
          <xdr:rowOff>50800</xdr:rowOff>
        </xdr:from>
        <xdr:to>
          <xdr:col>2</xdr:col>
          <xdr:colOff>1022350</xdr:colOff>
          <xdr:row>105</xdr:row>
          <xdr:rowOff>0</xdr:rowOff>
        </xdr:to>
        <xdr:sp macro="" textlink="">
          <xdr:nvSpPr>
            <xdr:cNvPr id="137259" name="cbApplySpecificMemberSecond" hidden="1">
              <a:extLst>
                <a:ext uri="{63B3BB69-23CF-44E3-9099-C40C66FF867C}">
                  <a14:compatExt spid="_x0000_s137259"/>
                </a:ext>
                <a:ext uri="{FF2B5EF4-FFF2-40B4-BE49-F238E27FC236}">
                  <a16:creationId xmlns:a16="http://schemas.microsoft.com/office/drawing/2014/main" id="{00000000-0008-0000-0400-00002B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105</xdr:row>
          <xdr:rowOff>19050</xdr:rowOff>
        </xdr:from>
        <xdr:to>
          <xdr:col>3</xdr:col>
          <xdr:colOff>4286250</xdr:colOff>
          <xdr:row>105</xdr:row>
          <xdr:rowOff>266700</xdr:rowOff>
        </xdr:to>
        <xdr:sp macro="" textlink="">
          <xdr:nvSpPr>
            <xdr:cNvPr id="137260" name="AddMemberSecond" hidden="1">
              <a:extLst>
                <a:ext uri="{63B3BB69-23CF-44E3-9099-C40C66FF867C}">
                  <a14:compatExt spid="_x0000_s137260"/>
                </a:ext>
                <a:ext uri="{FF2B5EF4-FFF2-40B4-BE49-F238E27FC236}">
                  <a16:creationId xmlns:a16="http://schemas.microsoft.com/office/drawing/2014/main" id="{00000000-0008-0000-0400-00002C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1676400</xdr:colOff>
          <xdr:row>109</xdr:row>
          <xdr:rowOff>69850</xdr:rowOff>
        </xdr:from>
        <xdr:to>
          <xdr:col>7</xdr:col>
          <xdr:colOff>1803400</xdr:colOff>
          <xdr:row>109</xdr:row>
          <xdr:rowOff>342900</xdr:rowOff>
        </xdr:to>
        <xdr:sp macro="" textlink="">
          <xdr:nvSpPr>
            <xdr:cNvPr id="137261" name="cbApplyOddEvenFormatting" hidden="1">
              <a:extLst>
                <a:ext uri="{63B3BB69-23CF-44E3-9099-C40C66FF867C}">
                  <a14:compatExt spid="_x0000_s137261"/>
                </a:ext>
                <a:ext uri="{FF2B5EF4-FFF2-40B4-BE49-F238E27FC236}">
                  <a16:creationId xmlns:a16="http://schemas.microsoft.com/office/drawing/2014/main" id="{00000000-0008-0000-0400-00002D1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12</xdr:col>
          <xdr:colOff>0</xdr:colOff>
          <xdr:row>111</xdr:row>
          <xdr:rowOff>0</xdr:rowOff>
        </xdr:to>
        <xdr:sp macro="" textlink="">
          <xdr:nvSpPr>
            <xdr:cNvPr id="137262" name="Group Box 46" hidden="1">
              <a:extLst>
                <a:ext uri="{63B3BB69-23CF-44E3-9099-C40C66FF867C}">
                  <a14:compatExt spid="_x0000_s137262"/>
                </a:ext>
                <a:ext uri="{FF2B5EF4-FFF2-40B4-BE49-F238E27FC236}">
                  <a16:creationId xmlns:a16="http://schemas.microsoft.com/office/drawing/2014/main" id="{00000000-0008-0000-0400-00002E1802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110</xdr:row>
          <xdr:rowOff>69850</xdr:rowOff>
        </xdr:from>
        <xdr:to>
          <xdr:col>3</xdr:col>
          <xdr:colOff>2609850</xdr:colOff>
          <xdr:row>110</xdr:row>
          <xdr:rowOff>279400</xdr:rowOff>
        </xdr:to>
        <xdr:sp macro="" textlink="">
          <xdr:nvSpPr>
            <xdr:cNvPr id="137263" name="obOddEvenRowFirst" hidden="1">
              <a:extLst>
                <a:ext uri="{63B3BB69-23CF-44E3-9099-C40C66FF867C}">
                  <a14:compatExt spid="_x0000_s137263"/>
                </a:ext>
                <a:ext uri="{FF2B5EF4-FFF2-40B4-BE49-F238E27FC236}">
                  <a16:creationId xmlns:a16="http://schemas.microsoft.com/office/drawing/2014/main" id="{00000000-0008-0000-0400-00002F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110</xdr:row>
          <xdr:rowOff>69850</xdr:rowOff>
        </xdr:from>
        <xdr:to>
          <xdr:col>3</xdr:col>
          <xdr:colOff>450850</xdr:colOff>
          <xdr:row>110</xdr:row>
          <xdr:rowOff>279400</xdr:rowOff>
        </xdr:to>
        <xdr:sp macro="" textlink="">
          <xdr:nvSpPr>
            <xdr:cNvPr id="137264" name="obOddEvenColumnFirst" hidden="1">
              <a:extLst>
                <a:ext uri="{63B3BB69-23CF-44E3-9099-C40C66FF867C}">
                  <a14:compatExt spid="_x0000_s137264"/>
                </a:ext>
                <a:ext uri="{FF2B5EF4-FFF2-40B4-BE49-F238E27FC236}">
                  <a16:creationId xmlns:a16="http://schemas.microsoft.com/office/drawing/2014/main" id="{00000000-0008-0000-0400-000030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113</xdr:row>
          <xdr:rowOff>0</xdr:rowOff>
        </xdr:from>
        <xdr:to>
          <xdr:col>2</xdr:col>
          <xdr:colOff>1022350</xdr:colOff>
          <xdr:row>115</xdr:row>
          <xdr:rowOff>38100</xdr:rowOff>
        </xdr:to>
        <xdr:sp macro="" textlink="">
          <xdr:nvSpPr>
            <xdr:cNvPr id="137265" name="cbUseOddFirst" hidden="1">
              <a:extLst>
                <a:ext uri="{63B3BB69-23CF-44E3-9099-C40C66FF867C}">
                  <a14:compatExt spid="_x0000_s137265"/>
                </a:ext>
                <a:ext uri="{FF2B5EF4-FFF2-40B4-BE49-F238E27FC236}">
                  <a16:creationId xmlns:a16="http://schemas.microsoft.com/office/drawing/2014/main" id="{00000000-0008-0000-0400-000031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116</xdr:row>
          <xdr:rowOff>0</xdr:rowOff>
        </xdr:from>
        <xdr:to>
          <xdr:col>2</xdr:col>
          <xdr:colOff>1022350</xdr:colOff>
          <xdr:row>118</xdr:row>
          <xdr:rowOff>38100</xdr:rowOff>
        </xdr:to>
        <xdr:sp macro="" textlink="">
          <xdr:nvSpPr>
            <xdr:cNvPr id="137266" name="cbUseEvenFirst" hidden="1">
              <a:extLst>
                <a:ext uri="{63B3BB69-23CF-44E3-9099-C40C66FF867C}">
                  <a14:compatExt spid="_x0000_s137266"/>
                </a:ext>
                <a:ext uri="{FF2B5EF4-FFF2-40B4-BE49-F238E27FC236}">
                  <a16:creationId xmlns:a16="http://schemas.microsoft.com/office/drawing/2014/main" id="{00000000-0008-0000-0400-000032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121</xdr:row>
          <xdr:rowOff>0</xdr:rowOff>
        </xdr:from>
        <xdr:to>
          <xdr:col>2</xdr:col>
          <xdr:colOff>1022350</xdr:colOff>
          <xdr:row>123</xdr:row>
          <xdr:rowOff>38100</xdr:rowOff>
        </xdr:to>
        <xdr:sp macro="" textlink="">
          <xdr:nvSpPr>
            <xdr:cNvPr id="137267" name="cbUseOddSecond" hidden="1">
              <a:extLst>
                <a:ext uri="{63B3BB69-23CF-44E3-9099-C40C66FF867C}">
                  <a14:compatExt spid="_x0000_s137267"/>
                </a:ext>
                <a:ext uri="{FF2B5EF4-FFF2-40B4-BE49-F238E27FC236}">
                  <a16:creationId xmlns:a16="http://schemas.microsoft.com/office/drawing/2014/main" id="{00000000-0008-0000-0400-000033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123</xdr:row>
          <xdr:rowOff>50800</xdr:rowOff>
        </xdr:from>
        <xdr:to>
          <xdr:col>2</xdr:col>
          <xdr:colOff>1022350</xdr:colOff>
          <xdr:row>126</xdr:row>
          <xdr:rowOff>38100</xdr:rowOff>
        </xdr:to>
        <xdr:sp macro="" textlink="">
          <xdr:nvSpPr>
            <xdr:cNvPr id="137268" name="cbUseEvenSecond" hidden="1">
              <a:extLst>
                <a:ext uri="{63B3BB69-23CF-44E3-9099-C40C66FF867C}">
                  <a14:compatExt spid="_x0000_s137268"/>
                </a:ext>
                <a:ext uri="{FF2B5EF4-FFF2-40B4-BE49-F238E27FC236}">
                  <a16:creationId xmlns:a16="http://schemas.microsoft.com/office/drawing/2014/main" id="{00000000-0008-0000-0400-000034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1524000</xdr:colOff>
          <xdr:row>129</xdr:row>
          <xdr:rowOff>69850</xdr:rowOff>
        </xdr:from>
        <xdr:to>
          <xdr:col>7</xdr:col>
          <xdr:colOff>1651000</xdr:colOff>
          <xdr:row>129</xdr:row>
          <xdr:rowOff>342900</xdr:rowOff>
        </xdr:to>
        <xdr:sp macro="" textlink="">
          <xdr:nvSpPr>
            <xdr:cNvPr id="137269" name="cbApplyPageHeaderFormatting" hidden="1">
              <a:extLst>
                <a:ext uri="{63B3BB69-23CF-44E3-9099-C40C66FF867C}">
                  <a14:compatExt spid="_x0000_s137269"/>
                </a:ext>
                <a:ext uri="{FF2B5EF4-FFF2-40B4-BE49-F238E27FC236}">
                  <a16:creationId xmlns:a16="http://schemas.microsoft.com/office/drawing/2014/main" id="{00000000-0008-0000-0400-0000351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131</xdr:row>
          <xdr:rowOff>203200</xdr:rowOff>
        </xdr:from>
        <xdr:to>
          <xdr:col>2</xdr:col>
          <xdr:colOff>1022350</xdr:colOff>
          <xdr:row>134</xdr:row>
          <xdr:rowOff>38100</xdr:rowOff>
        </xdr:to>
        <xdr:sp macro="" textlink="">
          <xdr:nvSpPr>
            <xdr:cNvPr id="137270" name="cbUseDefaultPageHeaderFormat" hidden="1">
              <a:extLst>
                <a:ext uri="{63B3BB69-23CF-44E3-9099-C40C66FF867C}">
                  <a14:compatExt spid="_x0000_s137270"/>
                </a:ext>
                <a:ext uri="{FF2B5EF4-FFF2-40B4-BE49-F238E27FC236}">
                  <a16:creationId xmlns:a16="http://schemas.microsoft.com/office/drawing/2014/main" id="{00000000-0008-0000-0400-000036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135</xdr:row>
          <xdr:rowOff>0</xdr:rowOff>
        </xdr:from>
        <xdr:to>
          <xdr:col>2</xdr:col>
          <xdr:colOff>1022350</xdr:colOff>
          <xdr:row>136</xdr:row>
          <xdr:rowOff>171450</xdr:rowOff>
        </xdr:to>
        <xdr:sp macro="" textlink="">
          <xdr:nvSpPr>
            <xdr:cNvPr id="137271" name="cbUseDimensionFormatting" hidden="1">
              <a:extLst>
                <a:ext uri="{63B3BB69-23CF-44E3-9099-C40C66FF867C}">
                  <a14:compatExt spid="_x0000_s137271"/>
                </a:ext>
                <a:ext uri="{FF2B5EF4-FFF2-40B4-BE49-F238E27FC236}">
                  <a16:creationId xmlns:a16="http://schemas.microsoft.com/office/drawing/2014/main" id="{00000000-0008-0000-0400-0000371802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137</xdr:row>
          <xdr:rowOff>19050</xdr:rowOff>
        </xdr:from>
        <xdr:to>
          <xdr:col>3</xdr:col>
          <xdr:colOff>4286250</xdr:colOff>
          <xdr:row>138</xdr:row>
          <xdr:rowOff>0</xdr:rowOff>
        </xdr:to>
        <xdr:sp macro="" textlink="">
          <xdr:nvSpPr>
            <xdr:cNvPr id="137272" name="AddDimension" hidden="1">
              <a:extLst>
                <a:ext uri="{63B3BB69-23CF-44E3-9099-C40C66FF867C}">
                  <a14:compatExt spid="_x0000_s137272"/>
                </a:ext>
                <a:ext uri="{FF2B5EF4-FFF2-40B4-BE49-F238E27FC236}">
                  <a16:creationId xmlns:a16="http://schemas.microsoft.com/office/drawing/2014/main" id="{00000000-0008-0000-0400-000038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Dimension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0</xdr:rowOff>
        </xdr:from>
        <xdr:to>
          <xdr:col>12</xdr:col>
          <xdr:colOff>685800</xdr:colOff>
          <xdr:row>74</xdr:row>
          <xdr:rowOff>0</xdr:rowOff>
        </xdr:to>
        <xdr:sp macro="" textlink="">
          <xdr:nvSpPr>
            <xdr:cNvPr id="137274" name="AddedMember1_1" hidden="1">
              <a:extLst>
                <a:ext uri="{63B3BB69-23CF-44E3-9099-C40C66FF867C}">
                  <a14:compatExt spid="_x0000_s137274"/>
                </a:ext>
                <a:ext uri="{FF2B5EF4-FFF2-40B4-BE49-F238E27FC236}">
                  <a16:creationId xmlns:a16="http://schemas.microsoft.com/office/drawing/2014/main" id="{00000000-0008-0000-0400-00003A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73</xdr:row>
          <xdr:rowOff>0</xdr:rowOff>
        </xdr:from>
        <xdr:to>
          <xdr:col>13</xdr:col>
          <xdr:colOff>679450</xdr:colOff>
          <xdr:row>74</xdr:row>
          <xdr:rowOff>0</xdr:rowOff>
        </xdr:to>
        <xdr:sp macro="" textlink="">
          <xdr:nvSpPr>
            <xdr:cNvPr id="137275" name="ChangeMember1_1" hidden="1">
              <a:extLst>
                <a:ext uri="{63B3BB69-23CF-44E3-9099-C40C66FF867C}">
                  <a14:compatExt spid="_x0000_s137275"/>
                </a:ext>
                <a:ext uri="{FF2B5EF4-FFF2-40B4-BE49-F238E27FC236}">
                  <a16:creationId xmlns:a16="http://schemas.microsoft.com/office/drawing/2014/main" id="{00000000-0008-0000-0400-00003B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73</xdr:row>
          <xdr:rowOff>0</xdr:rowOff>
        </xdr:from>
        <xdr:to>
          <xdr:col>14</xdr:col>
          <xdr:colOff>685800</xdr:colOff>
          <xdr:row>74</xdr:row>
          <xdr:rowOff>0</xdr:rowOff>
        </xdr:to>
        <xdr:sp macro="" textlink="">
          <xdr:nvSpPr>
            <xdr:cNvPr id="137276" name="UpMember1_1" hidden="1">
              <a:extLst>
                <a:ext uri="{63B3BB69-23CF-44E3-9099-C40C66FF867C}">
                  <a14:compatExt spid="_x0000_s137276"/>
                </a:ext>
                <a:ext uri="{FF2B5EF4-FFF2-40B4-BE49-F238E27FC236}">
                  <a16:creationId xmlns:a16="http://schemas.microsoft.com/office/drawing/2014/main" id="{00000000-0008-0000-0400-00003C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73</xdr:row>
          <xdr:rowOff>0</xdr:rowOff>
        </xdr:from>
        <xdr:to>
          <xdr:col>15</xdr:col>
          <xdr:colOff>685800</xdr:colOff>
          <xdr:row>74</xdr:row>
          <xdr:rowOff>0</xdr:rowOff>
        </xdr:to>
        <xdr:sp macro="" textlink="">
          <xdr:nvSpPr>
            <xdr:cNvPr id="137277" name="DownMember1_1" hidden="1">
              <a:extLst>
                <a:ext uri="{63B3BB69-23CF-44E3-9099-C40C66FF867C}">
                  <a14:compatExt spid="_x0000_s137277"/>
                </a:ext>
                <a:ext uri="{FF2B5EF4-FFF2-40B4-BE49-F238E27FC236}">
                  <a16:creationId xmlns:a16="http://schemas.microsoft.com/office/drawing/2014/main" id="{00000000-0008-0000-0400-00003D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76</xdr:row>
          <xdr:rowOff>0</xdr:rowOff>
        </xdr:from>
        <xdr:to>
          <xdr:col>12</xdr:col>
          <xdr:colOff>685800</xdr:colOff>
          <xdr:row>77</xdr:row>
          <xdr:rowOff>0</xdr:rowOff>
        </xdr:to>
        <xdr:sp macro="" textlink="">
          <xdr:nvSpPr>
            <xdr:cNvPr id="137280" name="AddedMember1_2" hidden="1">
              <a:extLst>
                <a:ext uri="{63B3BB69-23CF-44E3-9099-C40C66FF867C}">
                  <a14:compatExt spid="_x0000_s137280"/>
                </a:ext>
                <a:ext uri="{FF2B5EF4-FFF2-40B4-BE49-F238E27FC236}">
                  <a16:creationId xmlns:a16="http://schemas.microsoft.com/office/drawing/2014/main" id="{00000000-0008-0000-0400-000040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76</xdr:row>
          <xdr:rowOff>0</xdr:rowOff>
        </xdr:from>
        <xdr:to>
          <xdr:col>13</xdr:col>
          <xdr:colOff>679450</xdr:colOff>
          <xdr:row>77</xdr:row>
          <xdr:rowOff>0</xdr:rowOff>
        </xdr:to>
        <xdr:sp macro="" textlink="">
          <xdr:nvSpPr>
            <xdr:cNvPr id="137281" name="ChangeMember1_2" hidden="1">
              <a:extLst>
                <a:ext uri="{63B3BB69-23CF-44E3-9099-C40C66FF867C}">
                  <a14:compatExt spid="_x0000_s137281"/>
                </a:ext>
                <a:ext uri="{FF2B5EF4-FFF2-40B4-BE49-F238E27FC236}">
                  <a16:creationId xmlns:a16="http://schemas.microsoft.com/office/drawing/2014/main" id="{00000000-0008-0000-0400-000041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76</xdr:row>
          <xdr:rowOff>0</xdr:rowOff>
        </xdr:from>
        <xdr:to>
          <xdr:col>14</xdr:col>
          <xdr:colOff>685800</xdr:colOff>
          <xdr:row>77</xdr:row>
          <xdr:rowOff>0</xdr:rowOff>
        </xdr:to>
        <xdr:sp macro="" textlink="">
          <xdr:nvSpPr>
            <xdr:cNvPr id="137282" name="UpMember1_2" hidden="1">
              <a:extLst>
                <a:ext uri="{63B3BB69-23CF-44E3-9099-C40C66FF867C}">
                  <a14:compatExt spid="_x0000_s137282"/>
                </a:ext>
                <a:ext uri="{FF2B5EF4-FFF2-40B4-BE49-F238E27FC236}">
                  <a16:creationId xmlns:a16="http://schemas.microsoft.com/office/drawing/2014/main" id="{00000000-0008-0000-0400-000042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76</xdr:row>
          <xdr:rowOff>0</xdr:rowOff>
        </xdr:from>
        <xdr:to>
          <xdr:col>15</xdr:col>
          <xdr:colOff>685800</xdr:colOff>
          <xdr:row>77</xdr:row>
          <xdr:rowOff>0</xdr:rowOff>
        </xdr:to>
        <xdr:sp macro="" textlink="">
          <xdr:nvSpPr>
            <xdr:cNvPr id="137283" name="DownMember1_2" hidden="1">
              <a:extLst>
                <a:ext uri="{63B3BB69-23CF-44E3-9099-C40C66FF867C}">
                  <a14:compatExt spid="_x0000_s137283"/>
                </a:ext>
                <a:ext uri="{FF2B5EF4-FFF2-40B4-BE49-F238E27FC236}">
                  <a16:creationId xmlns:a16="http://schemas.microsoft.com/office/drawing/2014/main" id="{00000000-0008-0000-0400-000043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78</xdr:row>
          <xdr:rowOff>50800</xdr:rowOff>
        </xdr:from>
        <xdr:to>
          <xdr:col>12</xdr:col>
          <xdr:colOff>685800</xdr:colOff>
          <xdr:row>79</xdr:row>
          <xdr:rowOff>190500</xdr:rowOff>
        </xdr:to>
        <xdr:sp macro="" textlink="">
          <xdr:nvSpPr>
            <xdr:cNvPr id="137285" name="AddedMember1_3" hidden="1">
              <a:extLst>
                <a:ext uri="{63B3BB69-23CF-44E3-9099-C40C66FF867C}">
                  <a14:compatExt spid="_x0000_s137285"/>
                </a:ext>
                <a:ext uri="{FF2B5EF4-FFF2-40B4-BE49-F238E27FC236}">
                  <a16:creationId xmlns:a16="http://schemas.microsoft.com/office/drawing/2014/main" id="{00000000-0008-0000-0400-000045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78</xdr:row>
          <xdr:rowOff>50800</xdr:rowOff>
        </xdr:from>
        <xdr:to>
          <xdr:col>13</xdr:col>
          <xdr:colOff>679450</xdr:colOff>
          <xdr:row>79</xdr:row>
          <xdr:rowOff>190500</xdr:rowOff>
        </xdr:to>
        <xdr:sp macro="" textlink="">
          <xdr:nvSpPr>
            <xdr:cNvPr id="137286" name="ChangeMember1_3" hidden="1">
              <a:extLst>
                <a:ext uri="{63B3BB69-23CF-44E3-9099-C40C66FF867C}">
                  <a14:compatExt spid="_x0000_s137286"/>
                </a:ext>
                <a:ext uri="{FF2B5EF4-FFF2-40B4-BE49-F238E27FC236}">
                  <a16:creationId xmlns:a16="http://schemas.microsoft.com/office/drawing/2014/main" id="{00000000-0008-0000-0400-000046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78</xdr:row>
          <xdr:rowOff>50800</xdr:rowOff>
        </xdr:from>
        <xdr:to>
          <xdr:col>14</xdr:col>
          <xdr:colOff>685800</xdr:colOff>
          <xdr:row>79</xdr:row>
          <xdr:rowOff>190500</xdr:rowOff>
        </xdr:to>
        <xdr:sp macro="" textlink="">
          <xdr:nvSpPr>
            <xdr:cNvPr id="137287" name="UpMember1_3" hidden="1">
              <a:extLst>
                <a:ext uri="{63B3BB69-23CF-44E3-9099-C40C66FF867C}">
                  <a14:compatExt spid="_x0000_s137287"/>
                </a:ext>
                <a:ext uri="{FF2B5EF4-FFF2-40B4-BE49-F238E27FC236}">
                  <a16:creationId xmlns:a16="http://schemas.microsoft.com/office/drawing/2014/main" id="{00000000-0008-0000-0400-000047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78</xdr:row>
          <xdr:rowOff>50800</xdr:rowOff>
        </xdr:from>
        <xdr:to>
          <xdr:col>15</xdr:col>
          <xdr:colOff>685800</xdr:colOff>
          <xdr:row>79</xdr:row>
          <xdr:rowOff>190500</xdr:rowOff>
        </xdr:to>
        <xdr:sp macro="" textlink="">
          <xdr:nvSpPr>
            <xdr:cNvPr id="137288" name="DownMember1_3" hidden="1">
              <a:extLst>
                <a:ext uri="{63B3BB69-23CF-44E3-9099-C40C66FF867C}">
                  <a14:compatExt spid="_x0000_s137288"/>
                </a:ext>
                <a:ext uri="{FF2B5EF4-FFF2-40B4-BE49-F238E27FC236}">
                  <a16:creationId xmlns:a16="http://schemas.microsoft.com/office/drawing/2014/main" id="{00000000-0008-0000-0400-000048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81</xdr:row>
          <xdr:rowOff>50800</xdr:rowOff>
        </xdr:from>
        <xdr:to>
          <xdr:col>12</xdr:col>
          <xdr:colOff>685800</xdr:colOff>
          <xdr:row>83</xdr:row>
          <xdr:rowOff>0</xdr:rowOff>
        </xdr:to>
        <xdr:sp macro="" textlink="">
          <xdr:nvSpPr>
            <xdr:cNvPr id="137290" name="AddedMember1_4" hidden="1">
              <a:extLst>
                <a:ext uri="{63B3BB69-23CF-44E3-9099-C40C66FF867C}">
                  <a14:compatExt spid="_x0000_s137290"/>
                </a:ext>
                <a:ext uri="{FF2B5EF4-FFF2-40B4-BE49-F238E27FC236}">
                  <a16:creationId xmlns:a16="http://schemas.microsoft.com/office/drawing/2014/main" id="{00000000-0008-0000-0400-00004A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81</xdr:row>
          <xdr:rowOff>50800</xdr:rowOff>
        </xdr:from>
        <xdr:to>
          <xdr:col>13</xdr:col>
          <xdr:colOff>679450</xdr:colOff>
          <xdr:row>83</xdr:row>
          <xdr:rowOff>0</xdr:rowOff>
        </xdr:to>
        <xdr:sp macro="" textlink="">
          <xdr:nvSpPr>
            <xdr:cNvPr id="137291" name="ChangeMember1_4" hidden="1">
              <a:extLst>
                <a:ext uri="{63B3BB69-23CF-44E3-9099-C40C66FF867C}">
                  <a14:compatExt spid="_x0000_s137291"/>
                </a:ext>
                <a:ext uri="{FF2B5EF4-FFF2-40B4-BE49-F238E27FC236}">
                  <a16:creationId xmlns:a16="http://schemas.microsoft.com/office/drawing/2014/main" id="{00000000-0008-0000-0400-00004B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81</xdr:row>
          <xdr:rowOff>50800</xdr:rowOff>
        </xdr:from>
        <xdr:to>
          <xdr:col>14</xdr:col>
          <xdr:colOff>685800</xdr:colOff>
          <xdr:row>83</xdr:row>
          <xdr:rowOff>0</xdr:rowOff>
        </xdr:to>
        <xdr:sp macro="" textlink="">
          <xdr:nvSpPr>
            <xdr:cNvPr id="137292" name="UpMember1_4" hidden="1">
              <a:extLst>
                <a:ext uri="{63B3BB69-23CF-44E3-9099-C40C66FF867C}">
                  <a14:compatExt spid="_x0000_s137292"/>
                </a:ext>
                <a:ext uri="{FF2B5EF4-FFF2-40B4-BE49-F238E27FC236}">
                  <a16:creationId xmlns:a16="http://schemas.microsoft.com/office/drawing/2014/main" id="{00000000-0008-0000-0400-00004C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81</xdr:row>
          <xdr:rowOff>50800</xdr:rowOff>
        </xdr:from>
        <xdr:to>
          <xdr:col>15</xdr:col>
          <xdr:colOff>685800</xdr:colOff>
          <xdr:row>83</xdr:row>
          <xdr:rowOff>0</xdr:rowOff>
        </xdr:to>
        <xdr:sp macro="" textlink="">
          <xdr:nvSpPr>
            <xdr:cNvPr id="137293" name="DownMember1_4" hidden="1">
              <a:extLst>
                <a:ext uri="{63B3BB69-23CF-44E3-9099-C40C66FF867C}">
                  <a14:compatExt spid="_x0000_s137293"/>
                </a:ext>
                <a:ext uri="{FF2B5EF4-FFF2-40B4-BE49-F238E27FC236}">
                  <a16:creationId xmlns:a16="http://schemas.microsoft.com/office/drawing/2014/main" id="{00000000-0008-0000-0400-00004D1802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1485900</xdr:colOff>
          <xdr:row>4</xdr:row>
          <xdr:rowOff>69850</xdr:rowOff>
        </xdr:from>
        <xdr:to>
          <xdr:col>7</xdr:col>
          <xdr:colOff>1612900</xdr:colOff>
          <xdr:row>4</xdr:row>
          <xdr:rowOff>342900</xdr:rowOff>
        </xdr:to>
        <xdr:sp macro="" textlink="">
          <xdr:nvSpPr>
            <xdr:cNvPr id="260097" name="cbApplyLevelFormatting" hidden="1">
              <a:extLst>
                <a:ext uri="{63B3BB69-23CF-44E3-9099-C40C66FF867C}">
                  <a14:compatExt spid="_x0000_s260097"/>
                </a:ext>
                <a:ext uri="{FF2B5EF4-FFF2-40B4-BE49-F238E27FC236}">
                  <a16:creationId xmlns:a16="http://schemas.microsoft.com/office/drawing/2014/main" id="{00000000-0008-0000-0500-000001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2800350</xdr:colOff>
          <xdr:row>6</xdr:row>
          <xdr:rowOff>0</xdr:rowOff>
        </xdr:to>
        <xdr:sp macro="" textlink="">
          <xdr:nvSpPr>
            <xdr:cNvPr id="260098" name="Group Box 2" hidden="1">
              <a:extLst>
                <a:ext uri="{63B3BB69-23CF-44E3-9099-C40C66FF867C}">
                  <a14:compatExt spid="_x0000_s260098"/>
                </a:ext>
                <a:ext uri="{FF2B5EF4-FFF2-40B4-BE49-F238E27FC236}">
                  <a16:creationId xmlns:a16="http://schemas.microsoft.com/office/drawing/2014/main" id="{00000000-0008-0000-0500-000002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xdr:row>
          <xdr:rowOff>57150</xdr:rowOff>
        </xdr:from>
        <xdr:to>
          <xdr:col>3</xdr:col>
          <xdr:colOff>2609850</xdr:colOff>
          <xdr:row>5</xdr:row>
          <xdr:rowOff>279400</xdr:rowOff>
        </xdr:to>
        <xdr:sp macro="" textlink="">
          <xdr:nvSpPr>
            <xdr:cNvPr id="260099" name="obLevelRowFirst" hidden="1">
              <a:extLst>
                <a:ext uri="{63B3BB69-23CF-44E3-9099-C40C66FF867C}">
                  <a14:compatExt spid="_x0000_s260099"/>
                </a:ext>
                <a:ext uri="{FF2B5EF4-FFF2-40B4-BE49-F238E27FC236}">
                  <a16:creationId xmlns:a16="http://schemas.microsoft.com/office/drawing/2014/main" id="{00000000-0008-0000-0500-000003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xdr:row>
          <xdr:rowOff>57150</xdr:rowOff>
        </xdr:from>
        <xdr:to>
          <xdr:col>3</xdr:col>
          <xdr:colOff>450850</xdr:colOff>
          <xdr:row>5</xdr:row>
          <xdr:rowOff>279400</xdr:rowOff>
        </xdr:to>
        <xdr:sp macro="" textlink="">
          <xdr:nvSpPr>
            <xdr:cNvPr id="260100" name="obLevelColumnFirst" hidden="1">
              <a:extLst>
                <a:ext uri="{63B3BB69-23CF-44E3-9099-C40C66FF867C}">
                  <a14:compatExt spid="_x0000_s260100"/>
                </a:ext>
                <a:ext uri="{FF2B5EF4-FFF2-40B4-BE49-F238E27FC236}">
                  <a16:creationId xmlns:a16="http://schemas.microsoft.com/office/drawing/2014/main" id="{00000000-0008-0000-0500-000004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2755900</xdr:colOff>
          <xdr:row>5</xdr:row>
          <xdr:rowOff>0</xdr:rowOff>
        </xdr:from>
        <xdr:to>
          <xdr:col>10</xdr:col>
          <xdr:colOff>171450</xdr:colOff>
          <xdr:row>6</xdr:row>
          <xdr:rowOff>0</xdr:rowOff>
        </xdr:to>
        <xdr:sp macro="" textlink="">
          <xdr:nvSpPr>
            <xdr:cNvPr id="260101" name="Group Box 5" hidden="1">
              <a:extLst>
                <a:ext uri="{63B3BB69-23CF-44E3-9099-C40C66FF867C}">
                  <a14:compatExt spid="_x0000_s260101"/>
                </a:ext>
                <a:ext uri="{FF2B5EF4-FFF2-40B4-BE49-F238E27FC236}">
                  <a16:creationId xmlns:a16="http://schemas.microsoft.com/office/drawing/2014/main" id="{00000000-0008-0000-0500-000005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4229100</xdr:colOff>
          <xdr:row>5</xdr:row>
          <xdr:rowOff>57150</xdr:rowOff>
        </xdr:from>
        <xdr:to>
          <xdr:col>6</xdr:col>
          <xdr:colOff>171450</xdr:colOff>
          <xdr:row>5</xdr:row>
          <xdr:rowOff>279400</xdr:rowOff>
        </xdr:to>
        <xdr:sp macro="" textlink="">
          <xdr:nvSpPr>
            <xdr:cNvPr id="260102" name="obRelativeLevelHierarchy" hidden="1">
              <a:extLst>
                <a:ext uri="{63B3BB69-23CF-44E3-9099-C40C66FF867C}">
                  <a14:compatExt spid="_x0000_s260102"/>
                </a:ext>
                <a:ext uri="{FF2B5EF4-FFF2-40B4-BE49-F238E27FC236}">
                  <a16:creationId xmlns:a16="http://schemas.microsoft.com/office/drawing/2014/main" id="{00000000-0008-0000-0500-000006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Relative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2774950</xdr:colOff>
          <xdr:row>5</xdr:row>
          <xdr:rowOff>57150</xdr:rowOff>
        </xdr:from>
        <xdr:to>
          <xdr:col>3</xdr:col>
          <xdr:colOff>4203700</xdr:colOff>
          <xdr:row>5</xdr:row>
          <xdr:rowOff>279400</xdr:rowOff>
        </xdr:to>
        <xdr:sp macro="" textlink="">
          <xdr:nvSpPr>
            <xdr:cNvPr id="260103" name="obDatabaseLevelHierarchy" hidden="1">
              <a:extLst>
                <a:ext uri="{63B3BB69-23CF-44E3-9099-C40C66FF867C}">
                  <a14:compatExt spid="_x0000_s260103"/>
                </a:ext>
                <a:ext uri="{FF2B5EF4-FFF2-40B4-BE49-F238E27FC236}">
                  <a16:creationId xmlns:a16="http://schemas.microsoft.com/office/drawing/2014/main" id="{00000000-0008-0000-0500-000007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Structure Levels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5</xdr:row>
          <xdr:rowOff>0</xdr:rowOff>
        </xdr:from>
        <xdr:to>
          <xdr:col>11</xdr:col>
          <xdr:colOff>2419350</xdr:colOff>
          <xdr:row>5</xdr:row>
          <xdr:rowOff>323850</xdr:rowOff>
        </xdr:to>
        <xdr:sp macro="" textlink="">
          <xdr:nvSpPr>
            <xdr:cNvPr id="260104" name="cbApplyLevelFromTopToBottom" hidden="1">
              <a:extLst>
                <a:ext uri="{63B3BB69-23CF-44E3-9099-C40C66FF867C}">
                  <a14:compatExt spid="_x0000_s260104"/>
                </a:ext>
                <a:ext uri="{FF2B5EF4-FFF2-40B4-BE49-F238E27FC236}">
                  <a16:creationId xmlns:a16="http://schemas.microsoft.com/office/drawing/2014/main" id="{00000000-0008-0000-0500-000008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Start formatting from the lowest level displayed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19050</xdr:colOff>
          <xdr:row>6</xdr:row>
          <xdr:rowOff>133350</xdr:rowOff>
        </xdr:from>
        <xdr:to>
          <xdr:col>11</xdr:col>
          <xdr:colOff>1136650</xdr:colOff>
          <xdr:row>7</xdr:row>
          <xdr:rowOff>127000</xdr:rowOff>
        </xdr:to>
        <xdr:sp macro="" textlink="">
          <xdr:nvSpPr>
            <xdr:cNvPr id="260105" name="LVL1tbFormattingByLevel" hidden="1">
              <a:extLst>
                <a:ext uri="{63B3BB69-23CF-44E3-9099-C40C66FF867C}">
                  <a14:compatExt spid="_x0000_s260105"/>
                </a:ext>
                <a:ext uri="{FF2B5EF4-FFF2-40B4-BE49-F238E27FC236}">
                  <a16:creationId xmlns:a16="http://schemas.microsoft.com/office/drawing/2014/main" id="{00000000-0008-0000-0500-000009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6</xdr:row>
          <xdr:rowOff>0</xdr:rowOff>
        </xdr:from>
        <xdr:to>
          <xdr:col>12</xdr:col>
          <xdr:colOff>0</xdr:colOff>
          <xdr:row>8</xdr:row>
          <xdr:rowOff>0</xdr:rowOff>
        </xdr:to>
        <xdr:sp macro="" textlink="">
          <xdr:nvSpPr>
            <xdr:cNvPr id="260106" name="Group Box 10" hidden="1">
              <a:extLst>
                <a:ext uri="{63B3BB69-23CF-44E3-9099-C40C66FF867C}">
                  <a14:compatExt spid="_x0000_s260106"/>
                </a:ext>
                <a:ext uri="{FF2B5EF4-FFF2-40B4-BE49-F238E27FC236}">
                  <a16:creationId xmlns:a16="http://schemas.microsoft.com/office/drawing/2014/main" id="{00000000-0008-0000-0500-00000A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228600</xdr:rowOff>
        </xdr:from>
        <xdr:to>
          <xdr:col>11</xdr:col>
          <xdr:colOff>2108200</xdr:colOff>
          <xdr:row>7</xdr:row>
          <xdr:rowOff>152400</xdr:rowOff>
        </xdr:to>
        <xdr:sp macro="" textlink="">
          <xdr:nvSpPr>
            <xdr:cNvPr id="260107" name="obLevelOuterFirst" hidden="1">
              <a:extLst>
                <a:ext uri="{63B3BB69-23CF-44E3-9099-C40C66FF867C}">
                  <a14:compatExt spid="_x0000_s260107"/>
                </a:ext>
                <a:ext uri="{FF2B5EF4-FFF2-40B4-BE49-F238E27FC236}">
                  <a16:creationId xmlns:a16="http://schemas.microsoft.com/office/drawing/2014/main" id="{00000000-0008-0000-0500-00000B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6</xdr:row>
          <xdr:rowOff>19050</xdr:rowOff>
        </xdr:from>
        <xdr:to>
          <xdr:col>11</xdr:col>
          <xdr:colOff>2108200</xdr:colOff>
          <xdr:row>6</xdr:row>
          <xdr:rowOff>241300</xdr:rowOff>
        </xdr:to>
        <xdr:sp macro="" textlink="">
          <xdr:nvSpPr>
            <xdr:cNvPr id="260108" name="obLevelInnerFirst" hidden="1">
              <a:extLst>
                <a:ext uri="{63B3BB69-23CF-44E3-9099-C40C66FF867C}">
                  <a14:compatExt spid="_x0000_s260108"/>
                </a:ext>
                <a:ext uri="{FF2B5EF4-FFF2-40B4-BE49-F238E27FC236}">
                  <a16:creationId xmlns:a16="http://schemas.microsoft.com/office/drawing/2014/main" id="{00000000-0008-0000-0500-00000C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xdr:row>
          <xdr:rowOff>203200</xdr:rowOff>
        </xdr:from>
        <xdr:to>
          <xdr:col>2</xdr:col>
          <xdr:colOff>1022350</xdr:colOff>
          <xdr:row>11</xdr:row>
          <xdr:rowOff>38100</xdr:rowOff>
        </xdr:to>
        <xdr:sp macro="" textlink="">
          <xdr:nvSpPr>
            <xdr:cNvPr id="260109" name="cbUseDefaultLevelFirst" hidden="1">
              <a:extLst>
                <a:ext uri="{63B3BB69-23CF-44E3-9099-C40C66FF867C}">
                  <a14:compatExt spid="_x0000_s260109"/>
                </a:ext>
                <a:ext uri="{FF2B5EF4-FFF2-40B4-BE49-F238E27FC236}">
                  <a16:creationId xmlns:a16="http://schemas.microsoft.com/office/drawing/2014/main" id="{00000000-0008-0000-0500-00000D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xdr:row>
          <xdr:rowOff>0</xdr:rowOff>
        </xdr:from>
        <xdr:to>
          <xdr:col>2</xdr:col>
          <xdr:colOff>1022350</xdr:colOff>
          <xdr:row>14</xdr:row>
          <xdr:rowOff>38100</xdr:rowOff>
        </xdr:to>
        <xdr:sp macro="" textlink="">
          <xdr:nvSpPr>
            <xdr:cNvPr id="260110" name="cbUseLeafLevelFirst" hidden="1">
              <a:extLst>
                <a:ext uri="{63B3BB69-23CF-44E3-9099-C40C66FF867C}">
                  <a14:compatExt spid="_x0000_s260110"/>
                </a:ext>
                <a:ext uri="{FF2B5EF4-FFF2-40B4-BE49-F238E27FC236}">
                  <a16:creationId xmlns:a16="http://schemas.microsoft.com/office/drawing/2014/main" id="{00000000-0008-0000-0500-00000E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15</xdr:row>
          <xdr:rowOff>38100</xdr:rowOff>
        </xdr:from>
        <xdr:to>
          <xdr:col>2</xdr:col>
          <xdr:colOff>1022350</xdr:colOff>
          <xdr:row>16</xdr:row>
          <xdr:rowOff>114300</xdr:rowOff>
        </xdr:to>
        <xdr:sp macro="" textlink="">
          <xdr:nvSpPr>
            <xdr:cNvPr id="260111" name="cbUseSpecificLevelFirst" hidden="1">
              <a:extLst>
                <a:ext uri="{63B3BB69-23CF-44E3-9099-C40C66FF867C}">
                  <a14:compatExt spid="_x0000_s260111"/>
                </a:ext>
                <a:ext uri="{FF2B5EF4-FFF2-40B4-BE49-F238E27FC236}">
                  <a16:creationId xmlns:a16="http://schemas.microsoft.com/office/drawing/2014/main" id="{00000000-0008-0000-0500-00000F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25</xdr:row>
          <xdr:rowOff>31750</xdr:rowOff>
        </xdr:from>
        <xdr:to>
          <xdr:col>3</xdr:col>
          <xdr:colOff>2127250</xdr:colOff>
          <xdr:row>26</xdr:row>
          <xdr:rowOff>12700</xdr:rowOff>
        </xdr:to>
        <xdr:sp macro="" textlink="">
          <xdr:nvSpPr>
            <xdr:cNvPr id="260112" name="AddLevelFirst" hidden="1">
              <a:extLst>
                <a:ext uri="{63B3BB69-23CF-44E3-9099-C40C66FF867C}">
                  <a14:compatExt spid="_x0000_s260112"/>
                </a:ext>
                <a:ext uri="{FF2B5EF4-FFF2-40B4-BE49-F238E27FC236}">
                  <a16:creationId xmlns:a16="http://schemas.microsoft.com/office/drawing/2014/main" id="{00000000-0008-0000-0500-000010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2228850</xdr:colOff>
          <xdr:row>25</xdr:row>
          <xdr:rowOff>31750</xdr:rowOff>
        </xdr:from>
        <xdr:to>
          <xdr:col>3</xdr:col>
          <xdr:colOff>4298950</xdr:colOff>
          <xdr:row>26</xdr:row>
          <xdr:rowOff>12700</xdr:rowOff>
        </xdr:to>
        <xdr:sp macro="" textlink="">
          <xdr:nvSpPr>
            <xdr:cNvPr id="260113" name="RemoveLevelFirst" hidden="1">
              <a:extLst>
                <a:ext uri="{63B3BB69-23CF-44E3-9099-C40C66FF867C}">
                  <a14:compatExt spid="_x0000_s260113"/>
                </a:ext>
                <a:ext uri="{FF2B5EF4-FFF2-40B4-BE49-F238E27FC236}">
                  <a16:creationId xmlns:a16="http://schemas.microsoft.com/office/drawing/2014/main" id="{00000000-0008-0000-0500-000011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19050</xdr:colOff>
          <xdr:row>27</xdr:row>
          <xdr:rowOff>146050</xdr:rowOff>
        </xdr:from>
        <xdr:to>
          <xdr:col>11</xdr:col>
          <xdr:colOff>1136650</xdr:colOff>
          <xdr:row>28</xdr:row>
          <xdr:rowOff>133350</xdr:rowOff>
        </xdr:to>
        <xdr:sp macro="" textlink="">
          <xdr:nvSpPr>
            <xdr:cNvPr id="260114" name="LVL2tbFormattingByLevel" hidden="1">
              <a:extLst>
                <a:ext uri="{63B3BB69-23CF-44E3-9099-C40C66FF867C}">
                  <a14:compatExt spid="_x0000_s260114"/>
                </a:ext>
                <a:ext uri="{FF2B5EF4-FFF2-40B4-BE49-F238E27FC236}">
                  <a16:creationId xmlns:a16="http://schemas.microsoft.com/office/drawing/2014/main" id="{00000000-0008-0000-0500-000012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square" lIns="36576" tIns="32004" rIns="0" bIns="0" anchor="t" upright="1"/>
            <a:lstStyle/>
            <a:p>
              <a:pPr algn="l" rtl="0">
                <a:defRPr sz="1000"/>
              </a:pPr>
              <a:r>
                <a:rPr lang="en-IN" sz="800" b="0" i="0" u="none" strike="noStrike" baseline="0">
                  <a:solidFill>
                    <a:srgbClr val="000000"/>
                  </a:solidFill>
                  <a:latin typeface="Segoe UI"/>
                  <a:cs typeface="Segoe UI"/>
                </a:rPr>
                <a:t>Apply Format 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27</xdr:row>
          <xdr:rowOff>0</xdr:rowOff>
        </xdr:from>
        <xdr:to>
          <xdr:col>12</xdr:col>
          <xdr:colOff>0</xdr:colOff>
          <xdr:row>29</xdr:row>
          <xdr:rowOff>0</xdr:rowOff>
        </xdr:to>
        <xdr:sp macro="" textlink="">
          <xdr:nvSpPr>
            <xdr:cNvPr id="260115" name="Group Box 19" hidden="1">
              <a:extLst>
                <a:ext uri="{63B3BB69-23CF-44E3-9099-C40C66FF867C}">
                  <a14:compatExt spid="_x0000_s260115"/>
                </a:ext>
                <a:ext uri="{FF2B5EF4-FFF2-40B4-BE49-F238E27FC236}">
                  <a16:creationId xmlns:a16="http://schemas.microsoft.com/office/drawing/2014/main" id="{00000000-0008-0000-0500-000013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228600</xdr:rowOff>
        </xdr:from>
        <xdr:to>
          <xdr:col>11</xdr:col>
          <xdr:colOff>2108200</xdr:colOff>
          <xdr:row>28</xdr:row>
          <xdr:rowOff>171450</xdr:rowOff>
        </xdr:to>
        <xdr:sp macro="" textlink="">
          <xdr:nvSpPr>
            <xdr:cNvPr id="260116" name="obLevelOuterSecond" hidden="1">
              <a:extLst>
                <a:ext uri="{63B3BB69-23CF-44E3-9099-C40C66FF867C}">
                  <a14:compatExt spid="_x0000_s260116"/>
                </a:ext>
                <a:ext uri="{FF2B5EF4-FFF2-40B4-BE49-F238E27FC236}">
                  <a16:creationId xmlns:a16="http://schemas.microsoft.com/office/drawing/2014/main" id="{00000000-0008-0000-0500-000014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Outer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908050</xdr:colOff>
          <xdr:row>27</xdr:row>
          <xdr:rowOff>38100</xdr:rowOff>
        </xdr:from>
        <xdr:to>
          <xdr:col>11</xdr:col>
          <xdr:colOff>2108200</xdr:colOff>
          <xdr:row>27</xdr:row>
          <xdr:rowOff>247650</xdr:rowOff>
        </xdr:to>
        <xdr:sp macro="" textlink="">
          <xdr:nvSpPr>
            <xdr:cNvPr id="260117" name="obLevelInnerSecond" hidden="1">
              <a:extLst>
                <a:ext uri="{63B3BB69-23CF-44E3-9099-C40C66FF867C}">
                  <a14:compatExt spid="_x0000_s260117"/>
                </a:ext>
                <a:ext uri="{FF2B5EF4-FFF2-40B4-BE49-F238E27FC236}">
                  <a16:creationId xmlns:a16="http://schemas.microsoft.com/office/drawing/2014/main" id="{00000000-0008-0000-0500-000015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Inner Dimension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30</xdr:row>
          <xdr:rowOff>0</xdr:rowOff>
        </xdr:from>
        <xdr:to>
          <xdr:col>2</xdr:col>
          <xdr:colOff>1022350</xdr:colOff>
          <xdr:row>32</xdr:row>
          <xdr:rowOff>38100</xdr:rowOff>
        </xdr:to>
        <xdr:sp macro="" textlink="">
          <xdr:nvSpPr>
            <xdr:cNvPr id="260118" name="cbUseDefaultLevelSecond" hidden="1">
              <a:extLst>
                <a:ext uri="{63B3BB69-23CF-44E3-9099-C40C66FF867C}">
                  <a14:compatExt spid="_x0000_s260118"/>
                </a:ext>
                <a:ext uri="{FF2B5EF4-FFF2-40B4-BE49-F238E27FC236}">
                  <a16:creationId xmlns:a16="http://schemas.microsoft.com/office/drawing/2014/main" id="{00000000-0008-0000-0500-000016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33</xdr:row>
          <xdr:rowOff>0</xdr:rowOff>
        </xdr:from>
        <xdr:to>
          <xdr:col>2</xdr:col>
          <xdr:colOff>1022350</xdr:colOff>
          <xdr:row>35</xdr:row>
          <xdr:rowOff>38100</xdr:rowOff>
        </xdr:to>
        <xdr:sp macro="" textlink="">
          <xdr:nvSpPr>
            <xdr:cNvPr id="260119" name="cbUseLeafLevelSecond" hidden="1">
              <a:extLst>
                <a:ext uri="{63B3BB69-23CF-44E3-9099-C40C66FF867C}">
                  <a14:compatExt spid="_x0000_s260119"/>
                </a:ext>
                <a:ext uri="{FF2B5EF4-FFF2-40B4-BE49-F238E27FC236}">
                  <a16:creationId xmlns:a16="http://schemas.microsoft.com/office/drawing/2014/main" id="{00000000-0008-0000-0500-000017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36</xdr:row>
          <xdr:rowOff>38100</xdr:rowOff>
        </xdr:from>
        <xdr:to>
          <xdr:col>2</xdr:col>
          <xdr:colOff>1022350</xdr:colOff>
          <xdr:row>37</xdr:row>
          <xdr:rowOff>114300</xdr:rowOff>
        </xdr:to>
        <xdr:sp macro="" textlink="">
          <xdr:nvSpPr>
            <xdr:cNvPr id="260120" name="cbUseSpecificLevelSecond" hidden="1">
              <a:extLst>
                <a:ext uri="{63B3BB69-23CF-44E3-9099-C40C66FF867C}">
                  <a14:compatExt spid="_x0000_s260120"/>
                </a:ext>
                <a:ext uri="{FF2B5EF4-FFF2-40B4-BE49-F238E27FC236}">
                  <a16:creationId xmlns:a16="http://schemas.microsoft.com/office/drawing/2014/main" id="{00000000-0008-0000-0500-000018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46</xdr:row>
          <xdr:rowOff>19050</xdr:rowOff>
        </xdr:from>
        <xdr:to>
          <xdr:col>3</xdr:col>
          <xdr:colOff>2127250</xdr:colOff>
          <xdr:row>47</xdr:row>
          <xdr:rowOff>0</xdr:rowOff>
        </xdr:to>
        <xdr:sp macro="" textlink="">
          <xdr:nvSpPr>
            <xdr:cNvPr id="260121" name="AddLevelSecond" hidden="1">
              <a:extLst>
                <a:ext uri="{63B3BB69-23CF-44E3-9099-C40C66FF867C}">
                  <a14:compatExt spid="_x0000_s260121"/>
                </a:ext>
                <a:ext uri="{FF2B5EF4-FFF2-40B4-BE49-F238E27FC236}">
                  <a16:creationId xmlns:a16="http://schemas.microsoft.com/office/drawing/2014/main" id="{00000000-0008-0000-0500-000019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2228850</xdr:colOff>
          <xdr:row>46</xdr:row>
          <xdr:rowOff>19050</xdr:rowOff>
        </xdr:from>
        <xdr:to>
          <xdr:col>3</xdr:col>
          <xdr:colOff>4298950</xdr:colOff>
          <xdr:row>47</xdr:row>
          <xdr:rowOff>0</xdr:rowOff>
        </xdr:to>
        <xdr:sp macro="" textlink="">
          <xdr:nvSpPr>
            <xdr:cNvPr id="260122" name="RemoveLevelSecond" hidden="1">
              <a:extLst>
                <a:ext uri="{63B3BB69-23CF-44E3-9099-C40C66FF867C}">
                  <a14:compatExt spid="_x0000_s260122"/>
                </a:ext>
                <a:ext uri="{FF2B5EF4-FFF2-40B4-BE49-F238E27FC236}">
                  <a16:creationId xmlns:a16="http://schemas.microsoft.com/office/drawing/2014/main" id="{00000000-0008-0000-0500-00001A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 Last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51</xdr:row>
          <xdr:rowOff>69850</xdr:rowOff>
        </xdr:from>
        <xdr:to>
          <xdr:col>9</xdr:col>
          <xdr:colOff>603250</xdr:colOff>
          <xdr:row>51</xdr:row>
          <xdr:rowOff>342900</xdr:rowOff>
        </xdr:to>
        <xdr:sp macro="" textlink="">
          <xdr:nvSpPr>
            <xdr:cNvPr id="260123" name="cbApplyMemberFormatting" hidden="1">
              <a:extLst>
                <a:ext uri="{63B3BB69-23CF-44E3-9099-C40C66FF867C}">
                  <a14:compatExt spid="_x0000_s260123"/>
                </a:ext>
                <a:ext uri="{FF2B5EF4-FFF2-40B4-BE49-F238E27FC236}">
                  <a16:creationId xmlns:a16="http://schemas.microsoft.com/office/drawing/2014/main" id="{00000000-0008-0000-0500-00001B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12</xdr:col>
          <xdr:colOff>0</xdr:colOff>
          <xdr:row>53</xdr:row>
          <xdr:rowOff>0</xdr:rowOff>
        </xdr:to>
        <xdr:sp macro="" textlink="">
          <xdr:nvSpPr>
            <xdr:cNvPr id="260124" name="Group Box 28" hidden="1">
              <a:extLst>
                <a:ext uri="{63B3BB69-23CF-44E3-9099-C40C66FF867C}">
                  <a14:compatExt spid="_x0000_s260124"/>
                </a:ext>
                <a:ext uri="{FF2B5EF4-FFF2-40B4-BE49-F238E27FC236}">
                  <a16:creationId xmlns:a16="http://schemas.microsoft.com/office/drawing/2014/main" id="{00000000-0008-0000-0500-00001C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52</xdr:row>
          <xdr:rowOff>57150</xdr:rowOff>
        </xdr:from>
        <xdr:to>
          <xdr:col>3</xdr:col>
          <xdr:colOff>2609850</xdr:colOff>
          <xdr:row>52</xdr:row>
          <xdr:rowOff>279400</xdr:rowOff>
        </xdr:to>
        <xdr:sp macro="" textlink="">
          <xdr:nvSpPr>
            <xdr:cNvPr id="260125" name="obMemberRowFirst" hidden="1">
              <a:extLst>
                <a:ext uri="{63B3BB69-23CF-44E3-9099-C40C66FF867C}">
                  <a14:compatExt spid="_x0000_s260125"/>
                </a:ext>
                <a:ext uri="{FF2B5EF4-FFF2-40B4-BE49-F238E27FC236}">
                  <a16:creationId xmlns:a16="http://schemas.microsoft.com/office/drawing/2014/main" id="{00000000-0008-0000-0500-00001D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52</xdr:row>
          <xdr:rowOff>57150</xdr:rowOff>
        </xdr:from>
        <xdr:to>
          <xdr:col>3</xdr:col>
          <xdr:colOff>450850</xdr:colOff>
          <xdr:row>52</xdr:row>
          <xdr:rowOff>279400</xdr:rowOff>
        </xdr:to>
        <xdr:sp macro="" textlink="">
          <xdr:nvSpPr>
            <xdr:cNvPr id="260126" name="obMemberColumnFirst" hidden="1">
              <a:extLst>
                <a:ext uri="{63B3BB69-23CF-44E3-9099-C40C66FF867C}">
                  <a14:compatExt spid="_x0000_s260126"/>
                </a:ext>
                <a:ext uri="{FF2B5EF4-FFF2-40B4-BE49-F238E27FC236}">
                  <a16:creationId xmlns:a16="http://schemas.microsoft.com/office/drawing/2014/main" id="{00000000-0008-0000-0500-00001E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54</xdr:row>
          <xdr:rowOff>203200</xdr:rowOff>
        </xdr:from>
        <xdr:to>
          <xdr:col>2</xdr:col>
          <xdr:colOff>1022350</xdr:colOff>
          <xdr:row>57</xdr:row>
          <xdr:rowOff>38100</xdr:rowOff>
        </xdr:to>
        <xdr:sp macro="" textlink="">
          <xdr:nvSpPr>
            <xdr:cNvPr id="260127" name="cbApplyCustomMemberDefaultFirst" hidden="1">
              <a:extLst>
                <a:ext uri="{63B3BB69-23CF-44E3-9099-C40C66FF867C}">
                  <a14:compatExt spid="_x0000_s260127"/>
                </a:ext>
                <a:ext uri="{FF2B5EF4-FFF2-40B4-BE49-F238E27FC236}">
                  <a16:creationId xmlns:a16="http://schemas.microsoft.com/office/drawing/2014/main" id="{00000000-0008-0000-0500-00001F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57</xdr:row>
          <xdr:rowOff>50800</xdr:rowOff>
        </xdr:from>
        <xdr:to>
          <xdr:col>2</xdr:col>
          <xdr:colOff>1022350</xdr:colOff>
          <xdr:row>60</xdr:row>
          <xdr:rowOff>38100</xdr:rowOff>
        </xdr:to>
        <xdr:sp macro="" textlink="">
          <xdr:nvSpPr>
            <xdr:cNvPr id="260128" name="cbApplyCalculatedMemberFirst" hidden="1">
              <a:extLst>
                <a:ext uri="{63B3BB69-23CF-44E3-9099-C40C66FF867C}">
                  <a14:compatExt spid="_x0000_s260128"/>
                </a:ext>
                <a:ext uri="{FF2B5EF4-FFF2-40B4-BE49-F238E27FC236}">
                  <a16:creationId xmlns:a16="http://schemas.microsoft.com/office/drawing/2014/main" id="{00000000-0008-0000-0500-000020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61</xdr:row>
          <xdr:rowOff>0</xdr:rowOff>
        </xdr:from>
        <xdr:to>
          <xdr:col>2</xdr:col>
          <xdr:colOff>1022350</xdr:colOff>
          <xdr:row>63</xdr:row>
          <xdr:rowOff>38100</xdr:rowOff>
        </xdr:to>
        <xdr:sp macro="" textlink="">
          <xdr:nvSpPr>
            <xdr:cNvPr id="260129" name="cbApplyImputableMemberFirst" hidden="1">
              <a:extLst>
                <a:ext uri="{63B3BB69-23CF-44E3-9099-C40C66FF867C}">
                  <a14:compatExt spid="_x0000_s260129"/>
                </a:ext>
                <a:ext uri="{FF2B5EF4-FFF2-40B4-BE49-F238E27FC236}">
                  <a16:creationId xmlns:a16="http://schemas.microsoft.com/office/drawing/2014/main" id="{00000000-0008-0000-0500-000021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64</xdr:row>
          <xdr:rowOff>0</xdr:rowOff>
        </xdr:from>
        <xdr:to>
          <xdr:col>2</xdr:col>
          <xdr:colOff>1022350</xdr:colOff>
          <xdr:row>66</xdr:row>
          <xdr:rowOff>38100</xdr:rowOff>
        </xdr:to>
        <xdr:sp macro="" textlink="">
          <xdr:nvSpPr>
            <xdr:cNvPr id="260130" name="cbApplyLocalMemberFirst" hidden="1">
              <a:extLst>
                <a:ext uri="{63B3BB69-23CF-44E3-9099-C40C66FF867C}">
                  <a14:compatExt spid="_x0000_s260130"/>
                </a:ext>
                <a:ext uri="{FF2B5EF4-FFF2-40B4-BE49-F238E27FC236}">
                  <a16:creationId xmlns:a16="http://schemas.microsoft.com/office/drawing/2014/main" id="{00000000-0008-0000-0500-000022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67</xdr:row>
          <xdr:rowOff>0</xdr:rowOff>
        </xdr:from>
        <xdr:to>
          <xdr:col>2</xdr:col>
          <xdr:colOff>1022350</xdr:colOff>
          <xdr:row>69</xdr:row>
          <xdr:rowOff>38100</xdr:rowOff>
        </xdr:to>
        <xdr:sp macro="" textlink="">
          <xdr:nvSpPr>
            <xdr:cNvPr id="260131" name="cbApplyChangedMemberFirst" hidden="1">
              <a:extLst>
                <a:ext uri="{63B3BB69-23CF-44E3-9099-C40C66FF867C}">
                  <a14:compatExt spid="_x0000_s260131"/>
                </a:ext>
                <a:ext uri="{FF2B5EF4-FFF2-40B4-BE49-F238E27FC236}">
                  <a16:creationId xmlns:a16="http://schemas.microsoft.com/office/drawing/2014/main" id="{00000000-0008-0000-0500-000023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70</xdr:row>
          <xdr:rowOff>50800</xdr:rowOff>
        </xdr:from>
        <xdr:to>
          <xdr:col>2</xdr:col>
          <xdr:colOff>1022350</xdr:colOff>
          <xdr:row>72</xdr:row>
          <xdr:rowOff>0</xdr:rowOff>
        </xdr:to>
        <xdr:sp macro="" textlink="">
          <xdr:nvSpPr>
            <xdr:cNvPr id="260132" name="cbApplySpecificMemberFirst" hidden="1">
              <a:extLst>
                <a:ext uri="{63B3BB69-23CF-44E3-9099-C40C66FF867C}">
                  <a14:compatExt spid="_x0000_s260132"/>
                </a:ext>
                <a:ext uri="{FF2B5EF4-FFF2-40B4-BE49-F238E27FC236}">
                  <a16:creationId xmlns:a16="http://schemas.microsoft.com/office/drawing/2014/main" id="{00000000-0008-0000-0500-000024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87</xdr:row>
          <xdr:rowOff>19050</xdr:rowOff>
        </xdr:from>
        <xdr:to>
          <xdr:col>3</xdr:col>
          <xdr:colOff>4286250</xdr:colOff>
          <xdr:row>87</xdr:row>
          <xdr:rowOff>266700</xdr:rowOff>
        </xdr:to>
        <xdr:sp macro="" textlink="">
          <xdr:nvSpPr>
            <xdr:cNvPr id="260133" name="AddMemberFirst" hidden="1">
              <a:extLst>
                <a:ext uri="{63B3BB69-23CF-44E3-9099-C40C66FF867C}">
                  <a14:compatExt spid="_x0000_s260133"/>
                </a:ext>
                <a:ext uri="{FF2B5EF4-FFF2-40B4-BE49-F238E27FC236}">
                  <a16:creationId xmlns:a16="http://schemas.microsoft.com/office/drawing/2014/main" id="{00000000-0008-0000-0500-000025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91</xdr:row>
          <xdr:rowOff>0</xdr:rowOff>
        </xdr:from>
        <xdr:to>
          <xdr:col>2</xdr:col>
          <xdr:colOff>1022350</xdr:colOff>
          <xdr:row>93</xdr:row>
          <xdr:rowOff>38100</xdr:rowOff>
        </xdr:to>
        <xdr:sp macro="" textlink="">
          <xdr:nvSpPr>
            <xdr:cNvPr id="260134" name="cbApplyCustomMemberDefaultSecond" hidden="1">
              <a:extLst>
                <a:ext uri="{63B3BB69-23CF-44E3-9099-C40C66FF867C}">
                  <a14:compatExt spid="_x0000_s260134"/>
                </a:ext>
                <a:ext uri="{FF2B5EF4-FFF2-40B4-BE49-F238E27FC236}">
                  <a16:creationId xmlns:a16="http://schemas.microsoft.com/office/drawing/2014/main" id="{00000000-0008-0000-0500-000026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93</xdr:row>
          <xdr:rowOff>50800</xdr:rowOff>
        </xdr:from>
        <xdr:to>
          <xdr:col>2</xdr:col>
          <xdr:colOff>1022350</xdr:colOff>
          <xdr:row>96</xdr:row>
          <xdr:rowOff>38100</xdr:rowOff>
        </xdr:to>
        <xdr:sp macro="" textlink="">
          <xdr:nvSpPr>
            <xdr:cNvPr id="260135" name="cbApplyCalculatedMemberSecond" hidden="1">
              <a:extLst>
                <a:ext uri="{63B3BB69-23CF-44E3-9099-C40C66FF867C}">
                  <a14:compatExt spid="_x0000_s260135"/>
                </a:ext>
                <a:ext uri="{FF2B5EF4-FFF2-40B4-BE49-F238E27FC236}">
                  <a16:creationId xmlns:a16="http://schemas.microsoft.com/office/drawing/2014/main" id="{00000000-0008-0000-0500-000027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97</xdr:row>
          <xdr:rowOff>0</xdr:rowOff>
        </xdr:from>
        <xdr:to>
          <xdr:col>2</xdr:col>
          <xdr:colOff>1022350</xdr:colOff>
          <xdr:row>99</xdr:row>
          <xdr:rowOff>38100</xdr:rowOff>
        </xdr:to>
        <xdr:sp macro="" textlink="">
          <xdr:nvSpPr>
            <xdr:cNvPr id="260136" name="cbApplyImputableMemberSecond" hidden="1">
              <a:extLst>
                <a:ext uri="{63B3BB69-23CF-44E3-9099-C40C66FF867C}">
                  <a14:compatExt spid="_x0000_s260136"/>
                </a:ext>
                <a:ext uri="{FF2B5EF4-FFF2-40B4-BE49-F238E27FC236}">
                  <a16:creationId xmlns:a16="http://schemas.microsoft.com/office/drawing/2014/main" id="{00000000-0008-0000-0500-000028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100</xdr:row>
          <xdr:rowOff>0</xdr:rowOff>
        </xdr:from>
        <xdr:to>
          <xdr:col>2</xdr:col>
          <xdr:colOff>1022350</xdr:colOff>
          <xdr:row>102</xdr:row>
          <xdr:rowOff>38100</xdr:rowOff>
        </xdr:to>
        <xdr:sp macro="" textlink="">
          <xdr:nvSpPr>
            <xdr:cNvPr id="260137" name="cbApplyLocalMemberSecond" hidden="1">
              <a:extLst>
                <a:ext uri="{63B3BB69-23CF-44E3-9099-C40C66FF867C}">
                  <a14:compatExt spid="_x0000_s260137"/>
                </a:ext>
                <a:ext uri="{FF2B5EF4-FFF2-40B4-BE49-F238E27FC236}">
                  <a16:creationId xmlns:a16="http://schemas.microsoft.com/office/drawing/2014/main" id="{00000000-0008-0000-0500-000029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103</xdr:row>
          <xdr:rowOff>0</xdr:rowOff>
        </xdr:from>
        <xdr:to>
          <xdr:col>2</xdr:col>
          <xdr:colOff>1022350</xdr:colOff>
          <xdr:row>105</xdr:row>
          <xdr:rowOff>38100</xdr:rowOff>
        </xdr:to>
        <xdr:sp macro="" textlink="">
          <xdr:nvSpPr>
            <xdr:cNvPr id="260138" name="cbApplyChangedMemberSecond" hidden="1">
              <a:extLst>
                <a:ext uri="{63B3BB69-23CF-44E3-9099-C40C66FF867C}">
                  <a14:compatExt spid="_x0000_s260138"/>
                </a:ext>
                <a:ext uri="{FF2B5EF4-FFF2-40B4-BE49-F238E27FC236}">
                  <a16:creationId xmlns:a16="http://schemas.microsoft.com/office/drawing/2014/main" id="{00000000-0008-0000-0500-00002A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106</xdr:row>
          <xdr:rowOff>50800</xdr:rowOff>
        </xdr:from>
        <xdr:to>
          <xdr:col>2</xdr:col>
          <xdr:colOff>1022350</xdr:colOff>
          <xdr:row>108</xdr:row>
          <xdr:rowOff>0</xdr:rowOff>
        </xdr:to>
        <xdr:sp macro="" textlink="">
          <xdr:nvSpPr>
            <xdr:cNvPr id="260139" name="cbApplySpecificMemberSecond" hidden="1">
              <a:extLst>
                <a:ext uri="{63B3BB69-23CF-44E3-9099-C40C66FF867C}">
                  <a14:compatExt spid="_x0000_s260139"/>
                </a:ext>
                <a:ext uri="{FF2B5EF4-FFF2-40B4-BE49-F238E27FC236}">
                  <a16:creationId xmlns:a16="http://schemas.microsoft.com/office/drawing/2014/main" id="{00000000-0008-0000-0500-00002B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108</xdr:row>
          <xdr:rowOff>19050</xdr:rowOff>
        </xdr:from>
        <xdr:to>
          <xdr:col>3</xdr:col>
          <xdr:colOff>4286250</xdr:colOff>
          <xdr:row>108</xdr:row>
          <xdr:rowOff>266700</xdr:rowOff>
        </xdr:to>
        <xdr:sp macro="" textlink="">
          <xdr:nvSpPr>
            <xdr:cNvPr id="260140" name="AddMemberSecond" hidden="1">
              <a:extLst>
                <a:ext uri="{63B3BB69-23CF-44E3-9099-C40C66FF867C}">
                  <a14:compatExt spid="_x0000_s260140"/>
                </a:ext>
                <a:ext uri="{FF2B5EF4-FFF2-40B4-BE49-F238E27FC236}">
                  <a16:creationId xmlns:a16="http://schemas.microsoft.com/office/drawing/2014/main" id="{00000000-0008-0000-0500-00002C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1676400</xdr:colOff>
          <xdr:row>112</xdr:row>
          <xdr:rowOff>69850</xdr:rowOff>
        </xdr:from>
        <xdr:to>
          <xdr:col>7</xdr:col>
          <xdr:colOff>1803400</xdr:colOff>
          <xdr:row>112</xdr:row>
          <xdr:rowOff>342900</xdr:rowOff>
        </xdr:to>
        <xdr:sp macro="" textlink="">
          <xdr:nvSpPr>
            <xdr:cNvPr id="260141" name="cbApplyOddEvenFormatting" hidden="1">
              <a:extLst>
                <a:ext uri="{63B3BB69-23CF-44E3-9099-C40C66FF867C}">
                  <a14:compatExt spid="_x0000_s260141"/>
                </a:ext>
                <a:ext uri="{FF2B5EF4-FFF2-40B4-BE49-F238E27FC236}">
                  <a16:creationId xmlns:a16="http://schemas.microsoft.com/office/drawing/2014/main" id="{00000000-0008-0000-0500-00002D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12</xdr:col>
          <xdr:colOff>0</xdr:colOff>
          <xdr:row>114</xdr:row>
          <xdr:rowOff>0</xdr:rowOff>
        </xdr:to>
        <xdr:sp macro="" textlink="">
          <xdr:nvSpPr>
            <xdr:cNvPr id="260142" name="Group Box 46" hidden="1">
              <a:extLst>
                <a:ext uri="{63B3BB69-23CF-44E3-9099-C40C66FF867C}">
                  <a14:compatExt spid="_x0000_s260142"/>
                </a:ext>
                <a:ext uri="{FF2B5EF4-FFF2-40B4-BE49-F238E27FC236}">
                  <a16:creationId xmlns:a16="http://schemas.microsoft.com/office/drawing/2014/main" id="{00000000-0008-0000-0500-00002EF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IN" sz="800" b="0" i="0" u="none" strike="noStrike" baseline="0">
                  <a:solidFill>
                    <a:srgbClr val="000000"/>
                  </a:solidFill>
                  <a:latin typeface="Segoe UI"/>
                  <a:cs typeface="Segoe UI"/>
                </a:rPr>
                <a:t>Group Box 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113</xdr:row>
          <xdr:rowOff>69850</xdr:rowOff>
        </xdr:from>
        <xdr:to>
          <xdr:col>3</xdr:col>
          <xdr:colOff>2609850</xdr:colOff>
          <xdr:row>113</xdr:row>
          <xdr:rowOff>279400</xdr:rowOff>
        </xdr:to>
        <xdr:sp macro="" textlink="">
          <xdr:nvSpPr>
            <xdr:cNvPr id="260143" name="obOddEvenRowFirst" hidden="1">
              <a:extLst>
                <a:ext uri="{63B3BB69-23CF-44E3-9099-C40C66FF867C}">
                  <a14:compatExt spid="_x0000_s260143"/>
                </a:ext>
                <a:ext uri="{FF2B5EF4-FFF2-40B4-BE49-F238E27FC236}">
                  <a16:creationId xmlns:a16="http://schemas.microsoft.com/office/drawing/2014/main" id="{00000000-0008-0000-0500-00002F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113</xdr:row>
          <xdr:rowOff>69850</xdr:rowOff>
        </xdr:from>
        <xdr:to>
          <xdr:col>3</xdr:col>
          <xdr:colOff>450850</xdr:colOff>
          <xdr:row>113</xdr:row>
          <xdr:rowOff>279400</xdr:rowOff>
        </xdr:to>
        <xdr:sp macro="" textlink="">
          <xdr:nvSpPr>
            <xdr:cNvPr id="260144" name="obOddEvenColumnFirst" hidden="1">
              <a:extLst>
                <a:ext uri="{63B3BB69-23CF-44E3-9099-C40C66FF867C}">
                  <a14:compatExt spid="_x0000_s260144"/>
                </a:ext>
                <a:ext uri="{FF2B5EF4-FFF2-40B4-BE49-F238E27FC236}">
                  <a16:creationId xmlns:a16="http://schemas.microsoft.com/office/drawing/2014/main" id="{00000000-0008-0000-0500-000030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116</xdr:row>
          <xdr:rowOff>0</xdr:rowOff>
        </xdr:from>
        <xdr:to>
          <xdr:col>2</xdr:col>
          <xdr:colOff>1022350</xdr:colOff>
          <xdr:row>118</xdr:row>
          <xdr:rowOff>38100</xdr:rowOff>
        </xdr:to>
        <xdr:sp macro="" textlink="">
          <xdr:nvSpPr>
            <xdr:cNvPr id="260145" name="cbUseOddFirst" hidden="1">
              <a:extLst>
                <a:ext uri="{63B3BB69-23CF-44E3-9099-C40C66FF867C}">
                  <a14:compatExt spid="_x0000_s260145"/>
                </a:ext>
                <a:ext uri="{FF2B5EF4-FFF2-40B4-BE49-F238E27FC236}">
                  <a16:creationId xmlns:a16="http://schemas.microsoft.com/office/drawing/2014/main" id="{00000000-0008-0000-0500-000031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119</xdr:row>
          <xdr:rowOff>0</xdr:rowOff>
        </xdr:from>
        <xdr:to>
          <xdr:col>2</xdr:col>
          <xdr:colOff>1022350</xdr:colOff>
          <xdr:row>121</xdr:row>
          <xdr:rowOff>38100</xdr:rowOff>
        </xdr:to>
        <xdr:sp macro="" textlink="">
          <xdr:nvSpPr>
            <xdr:cNvPr id="260146" name="cbUseEvenFirst" hidden="1">
              <a:extLst>
                <a:ext uri="{63B3BB69-23CF-44E3-9099-C40C66FF867C}">
                  <a14:compatExt spid="_x0000_s260146"/>
                </a:ext>
                <a:ext uri="{FF2B5EF4-FFF2-40B4-BE49-F238E27FC236}">
                  <a16:creationId xmlns:a16="http://schemas.microsoft.com/office/drawing/2014/main" id="{00000000-0008-0000-0500-000032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124</xdr:row>
          <xdr:rowOff>0</xdr:rowOff>
        </xdr:from>
        <xdr:to>
          <xdr:col>2</xdr:col>
          <xdr:colOff>1022350</xdr:colOff>
          <xdr:row>126</xdr:row>
          <xdr:rowOff>38100</xdr:rowOff>
        </xdr:to>
        <xdr:sp macro="" textlink="">
          <xdr:nvSpPr>
            <xdr:cNvPr id="260147" name="cbUseOddSecond" hidden="1">
              <a:extLst>
                <a:ext uri="{63B3BB69-23CF-44E3-9099-C40C66FF867C}">
                  <a14:compatExt spid="_x0000_s260147"/>
                </a:ext>
                <a:ext uri="{FF2B5EF4-FFF2-40B4-BE49-F238E27FC236}">
                  <a16:creationId xmlns:a16="http://schemas.microsoft.com/office/drawing/2014/main" id="{00000000-0008-0000-0500-000033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126</xdr:row>
          <xdr:rowOff>50800</xdr:rowOff>
        </xdr:from>
        <xdr:to>
          <xdr:col>2</xdr:col>
          <xdr:colOff>1022350</xdr:colOff>
          <xdr:row>129</xdr:row>
          <xdr:rowOff>38100</xdr:rowOff>
        </xdr:to>
        <xdr:sp macro="" textlink="">
          <xdr:nvSpPr>
            <xdr:cNvPr id="260148" name="cbUseEvenSecond" hidden="1">
              <a:extLst>
                <a:ext uri="{63B3BB69-23CF-44E3-9099-C40C66FF867C}">
                  <a14:compatExt spid="_x0000_s260148"/>
                </a:ext>
                <a:ext uri="{FF2B5EF4-FFF2-40B4-BE49-F238E27FC236}">
                  <a16:creationId xmlns:a16="http://schemas.microsoft.com/office/drawing/2014/main" id="{00000000-0008-0000-0500-000034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1524000</xdr:colOff>
          <xdr:row>132</xdr:row>
          <xdr:rowOff>69850</xdr:rowOff>
        </xdr:from>
        <xdr:to>
          <xdr:col>7</xdr:col>
          <xdr:colOff>1651000</xdr:colOff>
          <xdr:row>132</xdr:row>
          <xdr:rowOff>342900</xdr:rowOff>
        </xdr:to>
        <xdr:sp macro="" textlink="">
          <xdr:nvSpPr>
            <xdr:cNvPr id="260149" name="cbApplyPageHeaderFormatting" hidden="1">
              <a:extLst>
                <a:ext uri="{63B3BB69-23CF-44E3-9099-C40C66FF867C}">
                  <a14:compatExt spid="_x0000_s260149"/>
                </a:ext>
                <a:ext uri="{FF2B5EF4-FFF2-40B4-BE49-F238E27FC236}">
                  <a16:creationId xmlns:a16="http://schemas.microsoft.com/office/drawing/2014/main" id="{00000000-0008-0000-0500-000035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134</xdr:row>
          <xdr:rowOff>203200</xdr:rowOff>
        </xdr:from>
        <xdr:to>
          <xdr:col>2</xdr:col>
          <xdr:colOff>1022350</xdr:colOff>
          <xdr:row>137</xdr:row>
          <xdr:rowOff>38100</xdr:rowOff>
        </xdr:to>
        <xdr:sp macro="" textlink="">
          <xdr:nvSpPr>
            <xdr:cNvPr id="260150" name="cbUseDefaultPageHeaderFormat" hidden="1">
              <a:extLst>
                <a:ext uri="{63B3BB69-23CF-44E3-9099-C40C66FF867C}">
                  <a14:compatExt spid="_x0000_s260150"/>
                </a:ext>
                <a:ext uri="{FF2B5EF4-FFF2-40B4-BE49-F238E27FC236}">
                  <a16:creationId xmlns:a16="http://schemas.microsoft.com/office/drawing/2014/main" id="{00000000-0008-0000-0500-000036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138</xdr:row>
          <xdr:rowOff>0</xdr:rowOff>
        </xdr:from>
        <xdr:to>
          <xdr:col>2</xdr:col>
          <xdr:colOff>1022350</xdr:colOff>
          <xdr:row>139</xdr:row>
          <xdr:rowOff>171450</xdr:rowOff>
        </xdr:to>
        <xdr:sp macro="" textlink="">
          <xdr:nvSpPr>
            <xdr:cNvPr id="260151" name="cbUseDimensionFormatting" hidden="1">
              <a:extLst>
                <a:ext uri="{63B3BB69-23CF-44E3-9099-C40C66FF867C}">
                  <a14:compatExt spid="_x0000_s260151"/>
                </a:ext>
                <a:ext uri="{FF2B5EF4-FFF2-40B4-BE49-F238E27FC236}">
                  <a16:creationId xmlns:a16="http://schemas.microsoft.com/office/drawing/2014/main" id="{00000000-0008-0000-0500-000037F803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140</xdr:row>
          <xdr:rowOff>19050</xdr:rowOff>
        </xdr:from>
        <xdr:to>
          <xdr:col>3</xdr:col>
          <xdr:colOff>4286250</xdr:colOff>
          <xdr:row>141</xdr:row>
          <xdr:rowOff>0</xdr:rowOff>
        </xdr:to>
        <xdr:sp macro="" textlink="">
          <xdr:nvSpPr>
            <xdr:cNvPr id="260152" name="AddDimension" hidden="1">
              <a:extLst>
                <a:ext uri="{63B3BB69-23CF-44E3-9099-C40C66FF867C}">
                  <a14:compatExt spid="_x0000_s260152"/>
                </a:ext>
                <a:ext uri="{FF2B5EF4-FFF2-40B4-BE49-F238E27FC236}">
                  <a16:creationId xmlns:a16="http://schemas.microsoft.com/office/drawing/2014/main" id="{00000000-0008-0000-0500-000038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Add Dimension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0</xdr:rowOff>
        </xdr:from>
        <xdr:to>
          <xdr:col>12</xdr:col>
          <xdr:colOff>685800</xdr:colOff>
          <xdr:row>74</xdr:row>
          <xdr:rowOff>0</xdr:rowOff>
        </xdr:to>
        <xdr:sp macro="" textlink="">
          <xdr:nvSpPr>
            <xdr:cNvPr id="260153" name="AddedMember1_1" hidden="1">
              <a:extLst>
                <a:ext uri="{63B3BB69-23CF-44E3-9099-C40C66FF867C}">
                  <a14:compatExt spid="_x0000_s260153"/>
                </a:ext>
                <a:ext uri="{FF2B5EF4-FFF2-40B4-BE49-F238E27FC236}">
                  <a16:creationId xmlns:a16="http://schemas.microsoft.com/office/drawing/2014/main" id="{00000000-0008-0000-0500-000039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73</xdr:row>
          <xdr:rowOff>0</xdr:rowOff>
        </xdr:from>
        <xdr:to>
          <xdr:col>13</xdr:col>
          <xdr:colOff>679450</xdr:colOff>
          <xdr:row>74</xdr:row>
          <xdr:rowOff>0</xdr:rowOff>
        </xdr:to>
        <xdr:sp macro="" textlink="">
          <xdr:nvSpPr>
            <xdr:cNvPr id="260154" name="ChangeMember1_1" hidden="1">
              <a:extLst>
                <a:ext uri="{63B3BB69-23CF-44E3-9099-C40C66FF867C}">
                  <a14:compatExt spid="_x0000_s260154"/>
                </a:ext>
                <a:ext uri="{FF2B5EF4-FFF2-40B4-BE49-F238E27FC236}">
                  <a16:creationId xmlns:a16="http://schemas.microsoft.com/office/drawing/2014/main" id="{00000000-0008-0000-0500-00003A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73</xdr:row>
          <xdr:rowOff>0</xdr:rowOff>
        </xdr:from>
        <xdr:to>
          <xdr:col>14</xdr:col>
          <xdr:colOff>685800</xdr:colOff>
          <xdr:row>74</xdr:row>
          <xdr:rowOff>0</xdr:rowOff>
        </xdr:to>
        <xdr:sp macro="" textlink="">
          <xdr:nvSpPr>
            <xdr:cNvPr id="260155" name="UpMember1_1" hidden="1">
              <a:extLst>
                <a:ext uri="{63B3BB69-23CF-44E3-9099-C40C66FF867C}">
                  <a14:compatExt spid="_x0000_s260155"/>
                </a:ext>
                <a:ext uri="{FF2B5EF4-FFF2-40B4-BE49-F238E27FC236}">
                  <a16:creationId xmlns:a16="http://schemas.microsoft.com/office/drawing/2014/main" id="{00000000-0008-0000-0500-00003B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73</xdr:row>
          <xdr:rowOff>0</xdr:rowOff>
        </xdr:from>
        <xdr:to>
          <xdr:col>15</xdr:col>
          <xdr:colOff>685800</xdr:colOff>
          <xdr:row>74</xdr:row>
          <xdr:rowOff>0</xdr:rowOff>
        </xdr:to>
        <xdr:sp macro="" textlink="">
          <xdr:nvSpPr>
            <xdr:cNvPr id="260156" name="DownMember1_1" hidden="1">
              <a:extLst>
                <a:ext uri="{63B3BB69-23CF-44E3-9099-C40C66FF867C}">
                  <a14:compatExt spid="_x0000_s260156"/>
                </a:ext>
                <a:ext uri="{FF2B5EF4-FFF2-40B4-BE49-F238E27FC236}">
                  <a16:creationId xmlns:a16="http://schemas.microsoft.com/office/drawing/2014/main" id="{00000000-0008-0000-0500-00003C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76</xdr:row>
          <xdr:rowOff>0</xdr:rowOff>
        </xdr:from>
        <xdr:to>
          <xdr:col>12</xdr:col>
          <xdr:colOff>685800</xdr:colOff>
          <xdr:row>77</xdr:row>
          <xdr:rowOff>0</xdr:rowOff>
        </xdr:to>
        <xdr:sp macro="" textlink="">
          <xdr:nvSpPr>
            <xdr:cNvPr id="260157" name="AddedMember1_2" hidden="1">
              <a:extLst>
                <a:ext uri="{63B3BB69-23CF-44E3-9099-C40C66FF867C}">
                  <a14:compatExt spid="_x0000_s260157"/>
                </a:ext>
                <a:ext uri="{FF2B5EF4-FFF2-40B4-BE49-F238E27FC236}">
                  <a16:creationId xmlns:a16="http://schemas.microsoft.com/office/drawing/2014/main" id="{00000000-0008-0000-0500-00003D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76</xdr:row>
          <xdr:rowOff>0</xdr:rowOff>
        </xdr:from>
        <xdr:to>
          <xdr:col>13</xdr:col>
          <xdr:colOff>679450</xdr:colOff>
          <xdr:row>77</xdr:row>
          <xdr:rowOff>0</xdr:rowOff>
        </xdr:to>
        <xdr:sp macro="" textlink="">
          <xdr:nvSpPr>
            <xdr:cNvPr id="260158" name="ChangeMember1_2" hidden="1">
              <a:extLst>
                <a:ext uri="{63B3BB69-23CF-44E3-9099-C40C66FF867C}">
                  <a14:compatExt spid="_x0000_s260158"/>
                </a:ext>
                <a:ext uri="{FF2B5EF4-FFF2-40B4-BE49-F238E27FC236}">
                  <a16:creationId xmlns:a16="http://schemas.microsoft.com/office/drawing/2014/main" id="{00000000-0008-0000-0500-00003E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76</xdr:row>
          <xdr:rowOff>0</xdr:rowOff>
        </xdr:from>
        <xdr:to>
          <xdr:col>14</xdr:col>
          <xdr:colOff>685800</xdr:colOff>
          <xdr:row>77</xdr:row>
          <xdr:rowOff>0</xdr:rowOff>
        </xdr:to>
        <xdr:sp macro="" textlink="">
          <xdr:nvSpPr>
            <xdr:cNvPr id="260159" name="UpMember1_2" hidden="1">
              <a:extLst>
                <a:ext uri="{63B3BB69-23CF-44E3-9099-C40C66FF867C}">
                  <a14:compatExt spid="_x0000_s260159"/>
                </a:ext>
                <a:ext uri="{FF2B5EF4-FFF2-40B4-BE49-F238E27FC236}">
                  <a16:creationId xmlns:a16="http://schemas.microsoft.com/office/drawing/2014/main" id="{00000000-0008-0000-0500-00003F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76</xdr:row>
          <xdr:rowOff>0</xdr:rowOff>
        </xdr:from>
        <xdr:to>
          <xdr:col>15</xdr:col>
          <xdr:colOff>685800</xdr:colOff>
          <xdr:row>77</xdr:row>
          <xdr:rowOff>0</xdr:rowOff>
        </xdr:to>
        <xdr:sp macro="" textlink="">
          <xdr:nvSpPr>
            <xdr:cNvPr id="260160" name="DownMember1_2" hidden="1">
              <a:extLst>
                <a:ext uri="{63B3BB69-23CF-44E3-9099-C40C66FF867C}">
                  <a14:compatExt spid="_x0000_s260160"/>
                </a:ext>
                <a:ext uri="{FF2B5EF4-FFF2-40B4-BE49-F238E27FC236}">
                  <a16:creationId xmlns:a16="http://schemas.microsoft.com/office/drawing/2014/main" id="{00000000-0008-0000-0500-000040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78</xdr:row>
          <xdr:rowOff>50800</xdr:rowOff>
        </xdr:from>
        <xdr:to>
          <xdr:col>12</xdr:col>
          <xdr:colOff>685800</xdr:colOff>
          <xdr:row>79</xdr:row>
          <xdr:rowOff>190500</xdr:rowOff>
        </xdr:to>
        <xdr:sp macro="" textlink="">
          <xdr:nvSpPr>
            <xdr:cNvPr id="260161" name="AddedMember1_3" hidden="1">
              <a:extLst>
                <a:ext uri="{63B3BB69-23CF-44E3-9099-C40C66FF867C}">
                  <a14:compatExt spid="_x0000_s260161"/>
                </a:ext>
                <a:ext uri="{FF2B5EF4-FFF2-40B4-BE49-F238E27FC236}">
                  <a16:creationId xmlns:a16="http://schemas.microsoft.com/office/drawing/2014/main" id="{00000000-0008-0000-0500-000041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78</xdr:row>
          <xdr:rowOff>50800</xdr:rowOff>
        </xdr:from>
        <xdr:to>
          <xdr:col>13</xdr:col>
          <xdr:colOff>679450</xdr:colOff>
          <xdr:row>79</xdr:row>
          <xdr:rowOff>190500</xdr:rowOff>
        </xdr:to>
        <xdr:sp macro="" textlink="">
          <xdr:nvSpPr>
            <xdr:cNvPr id="260162" name="ChangeMember1_3" hidden="1">
              <a:extLst>
                <a:ext uri="{63B3BB69-23CF-44E3-9099-C40C66FF867C}">
                  <a14:compatExt spid="_x0000_s260162"/>
                </a:ext>
                <a:ext uri="{FF2B5EF4-FFF2-40B4-BE49-F238E27FC236}">
                  <a16:creationId xmlns:a16="http://schemas.microsoft.com/office/drawing/2014/main" id="{00000000-0008-0000-0500-000042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78</xdr:row>
          <xdr:rowOff>50800</xdr:rowOff>
        </xdr:from>
        <xdr:to>
          <xdr:col>14</xdr:col>
          <xdr:colOff>685800</xdr:colOff>
          <xdr:row>79</xdr:row>
          <xdr:rowOff>190500</xdr:rowOff>
        </xdr:to>
        <xdr:sp macro="" textlink="">
          <xdr:nvSpPr>
            <xdr:cNvPr id="260163" name="UpMember1_3" hidden="1">
              <a:extLst>
                <a:ext uri="{63B3BB69-23CF-44E3-9099-C40C66FF867C}">
                  <a14:compatExt spid="_x0000_s260163"/>
                </a:ext>
                <a:ext uri="{FF2B5EF4-FFF2-40B4-BE49-F238E27FC236}">
                  <a16:creationId xmlns:a16="http://schemas.microsoft.com/office/drawing/2014/main" id="{00000000-0008-0000-0500-000043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78</xdr:row>
          <xdr:rowOff>50800</xdr:rowOff>
        </xdr:from>
        <xdr:to>
          <xdr:col>15</xdr:col>
          <xdr:colOff>685800</xdr:colOff>
          <xdr:row>79</xdr:row>
          <xdr:rowOff>190500</xdr:rowOff>
        </xdr:to>
        <xdr:sp macro="" textlink="">
          <xdr:nvSpPr>
            <xdr:cNvPr id="260164" name="DownMember1_3" hidden="1">
              <a:extLst>
                <a:ext uri="{63B3BB69-23CF-44E3-9099-C40C66FF867C}">
                  <a14:compatExt spid="_x0000_s260164"/>
                </a:ext>
                <a:ext uri="{FF2B5EF4-FFF2-40B4-BE49-F238E27FC236}">
                  <a16:creationId xmlns:a16="http://schemas.microsoft.com/office/drawing/2014/main" id="{00000000-0008-0000-0500-000044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81</xdr:row>
          <xdr:rowOff>50800</xdr:rowOff>
        </xdr:from>
        <xdr:to>
          <xdr:col>12</xdr:col>
          <xdr:colOff>685800</xdr:colOff>
          <xdr:row>83</xdr:row>
          <xdr:rowOff>0</xdr:rowOff>
        </xdr:to>
        <xdr:sp macro="" textlink="">
          <xdr:nvSpPr>
            <xdr:cNvPr id="260165" name="AddedMember1_4" hidden="1">
              <a:extLst>
                <a:ext uri="{63B3BB69-23CF-44E3-9099-C40C66FF867C}">
                  <a14:compatExt spid="_x0000_s260165"/>
                </a:ext>
                <a:ext uri="{FF2B5EF4-FFF2-40B4-BE49-F238E27FC236}">
                  <a16:creationId xmlns:a16="http://schemas.microsoft.com/office/drawing/2014/main" id="{00000000-0008-0000-0500-000045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81</xdr:row>
          <xdr:rowOff>50800</xdr:rowOff>
        </xdr:from>
        <xdr:to>
          <xdr:col>13</xdr:col>
          <xdr:colOff>679450</xdr:colOff>
          <xdr:row>83</xdr:row>
          <xdr:rowOff>0</xdr:rowOff>
        </xdr:to>
        <xdr:sp macro="" textlink="">
          <xdr:nvSpPr>
            <xdr:cNvPr id="260166" name="ChangeMember1_4" hidden="1">
              <a:extLst>
                <a:ext uri="{63B3BB69-23CF-44E3-9099-C40C66FF867C}">
                  <a14:compatExt spid="_x0000_s260166"/>
                </a:ext>
                <a:ext uri="{FF2B5EF4-FFF2-40B4-BE49-F238E27FC236}">
                  <a16:creationId xmlns:a16="http://schemas.microsoft.com/office/drawing/2014/main" id="{00000000-0008-0000-0500-000046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81</xdr:row>
          <xdr:rowOff>50800</xdr:rowOff>
        </xdr:from>
        <xdr:to>
          <xdr:col>14</xdr:col>
          <xdr:colOff>685800</xdr:colOff>
          <xdr:row>83</xdr:row>
          <xdr:rowOff>0</xdr:rowOff>
        </xdr:to>
        <xdr:sp macro="" textlink="">
          <xdr:nvSpPr>
            <xdr:cNvPr id="260167" name="UpMember1_4" hidden="1">
              <a:extLst>
                <a:ext uri="{63B3BB69-23CF-44E3-9099-C40C66FF867C}">
                  <a14:compatExt spid="_x0000_s260167"/>
                </a:ext>
                <a:ext uri="{FF2B5EF4-FFF2-40B4-BE49-F238E27FC236}">
                  <a16:creationId xmlns:a16="http://schemas.microsoft.com/office/drawing/2014/main" id="{00000000-0008-0000-0500-000047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81</xdr:row>
          <xdr:rowOff>50800</xdr:rowOff>
        </xdr:from>
        <xdr:to>
          <xdr:col>15</xdr:col>
          <xdr:colOff>685800</xdr:colOff>
          <xdr:row>83</xdr:row>
          <xdr:rowOff>0</xdr:rowOff>
        </xdr:to>
        <xdr:sp macro="" textlink="">
          <xdr:nvSpPr>
            <xdr:cNvPr id="260168" name="DownMember1_4" hidden="1">
              <a:extLst>
                <a:ext uri="{63B3BB69-23CF-44E3-9099-C40C66FF867C}">
                  <a14:compatExt spid="_x0000_s260168"/>
                </a:ext>
                <a:ext uri="{FF2B5EF4-FFF2-40B4-BE49-F238E27FC236}">
                  <a16:creationId xmlns:a16="http://schemas.microsoft.com/office/drawing/2014/main" id="{00000000-0008-0000-0500-000048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85</xdr:row>
          <xdr:rowOff>0</xdr:rowOff>
        </xdr:from>
        <xdr:to>
          <xdr:col>12</xdr:col>
          <xdr:colOff>685800</xdr:colOff>
          <xdr:row>86</xdr:row>
          <xdr:rowOff>0</xdr:rowOff>
        </xdr:to>
        <xdr:sp macro="" textlink="">
          <xdr:nvSpPr>
            <xdr:cNvPr id="260174" name="AddedMember1_5" hidden="1">
              <a:extLst>
                <a:ext uri="{63B3BB69-23CF-44E3-9099-C40C66FF867C}">
                  <a14:compatExt spid="_x0000_s260174"/>
                </a:ext>
                <a:ext uri="{FF2B5EF4-FFF2-40B4-BE49-F238E27FC236}">
                  <a16:creationId xmlns:a16="http://schemas.microsoft.com/office/drawing/2014/main" id="{00000000-0008-0000-0500-00004E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704850</xdr:colOff>
          <xdr:row>85</xdr:row>
          <xdr:rowOff>0</xdr:rowOff>
        </xdr:from>
        <xdr:to>
          <xdr:col>13</xdr:col>
          <xdr:colOff>679450</xdr:colOff>
          <xdr:row>86</xdr:row>
          <xdr:rowOff>0</xdr:rowOff>
        </xdr:to>
        <xdr:sp macro="" textlink="">
          <xdr:nvSpPr>
            <xdr:cNvPr id="260175" name="ChangeMember1_5" hidden="1">
              <a:extLst>
                <a:ext uri="{63B3BB69-23CF-44E3-9099-C40C66FF867C}">
                  <a14:compatExt spid="_x0000_s260175"/>
                </a:ext>
                <a:ext uri="{FF2B5EF4-FFF2-40B4-BE49-F238E27FC236}">
                  <a16:creationId xmlns:a16="http://schemas.microsoft.com/office/drawing/2014/main" id="{00000000-0008-0000-0500-00004F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85</xdr:row>
          <xdr:rowOff>0</xdr:rowOff>
        </xdr:from>
        <xdr:to>
          <xdr:col>14</xdr:col>
          <xdr:colOff>685800</xdr:colOff>
          <xdr:row>86</xdr:row>
          <xdr:rowOff>0</xdr:rowOff>
        </xdr:to>
        <xdr:sp macro="" textlink="">
          <xdr:nvSpPr>
            <xdr:cNvPr id="260176" name="UpMember1_5" hidden="1">
              <a:extLst>
                <a:ext uri="{63B3BB69-23CF-44E3-9099-C40C66FF867C}">
                  <a14:compatExt spid="_x0000_s260176"/>
                </a:ext>
                <a:ext uri="{FF2B5EF4-FFF2-40B4-BE49-F238E27FC236}">
                  <a16:creationId xmlns:a16="http://schemas.microsoft.com/office/drawing/2014/main" id="{00000000-0008-0000-0500-000050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85</xdr:row>
          <xdr:rowOff>0</xdr:rowOff>
        </xdr:from>
        <xdr:to>
          <xdr:col>15</xdr:col>
          <xdr:colOff>685800</xdr:colOff>
          <xdr:row>86</xdr:row>
          <xdr:rowOff>0</xdr:rowOff>
        </xdr:to>
        <xdr:sp macro="" textlink="">
          <xdr:nvSpPr>
            <xdr:cNvPr id="260177" name="DownMember1_5" hidden="1">
              <a:extLst>
                <a:ext uri="{63B3BB69-23CF-44E3-9099-C40C66FF867C}">
                  <a14:compatExt spid="_x0000_s260177"/>
                </a:ext>
                <a:ext uri="{FF2B5EF4-FFF2-40B4-BE49-F238E27FC236}">
                  <a16:creationId xmlns:a16="http://schemas.microsoft.com/office/drawing/2014/main" id="{00000000-0008-0000-0500-000051F803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Down</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12700</xdr:rowOff>
        </xdr:to>
        <xdr:sp macro="" textlink="">
          <xdr:nvSpPr>
            <xdr:cNvPr id="240641" name="FPMExcelClientSheetOptionstb1" hidden="1">
              <a:extLst>
                <a:ext uri="{63B3BB69-23CF-44E3-9099-C40C66FF867C}">
                  <a14:compatExt spid="_x0000_s240641"/>
                </a:ext>
                <a:ext uri="{FF2B5EF4-FFF2-40B4-BE49-F238E27FC236}">
                  <a16:creationId xmlns:a16="http://schemas.microsoft.com/office/drawing/2014/main" id="{00000000-0008-0000-0600-000001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40642" name="MultipleReportManagerInfotb1" hidden="1">
              <a:extLst>
                <a:ext uri="{63B3BB69-23CF-44E3-9099-C40C66FF867C}">
                  <a14:compatExt spid="_x0000_s240642"/>
                </a:ext>
                <a:ext uri="{FF2B5EF4-FFF2-40B4-BE49-F238E27FC236}">
                  <a16:creationId xmlns:a16="http://schemas.microsoft.com/office/drawing/2014/main" id="{00000000-0008-0000-0600-000002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40643" name="ConnectionDescriptorsInfotb1" hidden="1">
              <a:extLst>
                <a:ext uri="{63B3BB69-23CF-44E3-9099-C40C66FF867C}">
                  <a14:compatExt spid="_x0000_s240643"/>
                </a:ext>
                <a:ext uri="{FF2B5EF4-FFF2-40B4-BE49-F238E27FC236}">
                  <a16:creationId xmlns:a16="http://schemas.microsoft.com/office/drawing/2014/main" id="{00000000-0008-0000-0600-000003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40644" name="ReportSubmitManagerControltb1" hidden="1">
              <a:extLst>
                <a:ext uri="{63B3BB69-23CF-44E3-9099-C40C66FF867C}">
                  <a14:compatExt spid="_x0000_s240644"/>
                </a:ext>
                <a:ext uri="{FF2B5EF4-FFF2-40B4-BE49-F238E27FC236}">
                  <a16:creationId xmlns:a16="http://schemas.microsoft.com/office/drawing/2014/main" id="{00000000-0008-0000-0600-000004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40645" name="ReportSubmitControl_1tb1" hidden="1">
              <a:extLst>
                <a:ext uri="{63B3BB69-23CF-44E3-9099-C40C66FF867C}">
                  <a14:compatExt spid="_x0000_s240645"/>
                </a:ext>
                <a:ext uri="{FF2B5EF4-FFF2-40B4-BE49-F238E27FC236}">
                  <a16:creationId xmlns:a16="http://schemas.microsoft.com/office/drawing/2014/main" id="{00000000-0008-0000-0600-000005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40646" name="AnalyzerDynReport000tb1" hidden="1">
              <a:extLst>
                <a:ext uri="{63B3BB69-23CF-44E3-9099-C40C66FF867C}">
                  <a14:compatExt spid="_x0000_s240646"/>
                </a:ext>
                <a:ext uri="{FF2B5EF4-FFF2-40B4-BE49-F238E27FC236}">
                  <a16:creationId xmlns:a16="http://schemas.microsoft.com/office/drawing/2014/main" id="{00000000-0008-0000-0600-000006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47770</xdr:colOff>
      <xdr:row>1</xdr:row>
      <xdr:rowOff>18802</xdr:rowOff>
    </xdr:from>
    <xdr:to>
      <xdr:col>5</xdr:col>
      <xdr:colOff>781566</xdr:colOff>
      <xdr:row>2</xdr:row>
      <xdr:rowOff>106424</xdr:rowOff>
    </xdr:to>
    <xdr:sp macro="[0]!Ungroup" textlink="">
      <xdr:nvSpPr>
        <xdr:cNvPr id="2" name="Rectangle 1">
          <a:extLst>
            <a:ext uri="{FF2B5EF4-FFF2-40B4-BE49-F238E27FC236}">
              <a16:creationId xmlns:a16="http://schemas.microsoft.com/office/drawing/2014/main" id="{00000000-0008-0000-0600-000002000000}"/>
            </a:ext>
          </a:extLst>
        </xdr:cNvPr>
        <xdr:cNvSpPr/>
      </xdr:nvSpPr>
      <xdr:spPr>
        <a:xfrm>
          <a:off x="7086745" y="256927"/>
          <a:ext cx="733796" cy="278122"/>
        </a:xfrm>
        <a:prstGeom prst="rect">
          <a:avLst/>
        </a:prstGeom>
        <a:solidFill>
          <a:schemeClr val="accent2">
            <a:lumMod val="75000"/>
          </a:schemeClr>
        </a:solidFill>
        <a:effectLst>
          <a:glow rad="63500">
            <a:schemeClr val="tx1">
              <a:alpha val="40000"/>
            </a:schemeClr>
          </a:glow>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tlCol="0" anchor="ctr"/>
        <a:lstStyle/>
        <a:p>
          <a:pPr marL="0" indent="0" algn="ctr"/>
          <a:r>
            <a:rPr lang="en-US" sz="1100" b="1">
              <a:solidFill>
                <a:schemeClr val="lt1"/>
              </a:solidFill>
              <a:latin typeface="+mn-lt"/>
              <a:ea typeface="+mn-ea"/>
              <a:cs typeface="+mn-cs"/>
            </a:rPr>
            <a:t>UnGroup</a:t>
          </a:r>
        </a:p>
      </xdr:txBody>
    </xdr:sp>
    <xdr:clientData fLocksWithSheet="0"/>
  </xdr:twoCellAnchor>
  <xdr:twoCellAnchor editAs="absolute">
    <xdr:from>
      <xdr:col>5</xdr:col>
      <xdr:colOff>46931</xdr:colOff>
      <xdr:row>3</xdr:row>
      <xdr:rowOff>6893</xdr:rowOff>
    </xdr:from>
    <xdr:to>
      <xdr:col>5</xdr:col>
      <xdr:colOff>791151</xdr:colOff>
      <xdr:row>4</xdr:row>
      <xdr:rowOff>82889</xdr:rowOff>
    </xdr:to>
    <xdr:sp macro="[0]!Group" textlink="">
      <xdr:nvSpPr>
        <xdr:cNvPr id="3" name="Rectangle 2">
          <a:extLst>
            <a:ext uri="{FF2B5EF4-FFF2-40B4-BE49-F238E27FC236}">
              <a16:creationId xmlns:a16="http://schemas.microsoft.com/office/drawing/2014/main" id="{00000000-0008-0000-0600-000003000000}"/>
            </a:ext>
          </a:extLst>
        </xdr:cNvPr>
        <xdr:cNvSpPr/>
      </xdr:nvSpPr>
      <xdr:spPr>
        <a:xfrm>
          <a:off x="7092256" y="614112"/>
          <a:ext cx="731520" cy="278402"/>
        </a:xfrm>
        <a:prstGeom prst="rect">
          <a:avLst/>
        </a:prstGeom>
        <a:solidFill>
          <a:schemeClr val="accent2">
            <a:lumMod val="75000"/>
          </a:schemeClr>
        </a:solidFill>
        <a:effectLst>
          <a:glow rad="63500">
            <a:schemeClr val="tx1">
              <a:alpha val="40000"/>
            </a:schemeClr>
          </a:glow>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tlCol="0" anchor="ctr"/>
        <a:lstStyle/>
        <a:p>
          <a:pPr marL="0" indent="0" algn="ctr"/>
          <a:r>
            <a:rPr lang="en-US" sz="1100" b="1">
              <a:solidFill>
                <a:schemeClr val="lt1"/>
              </a:solidFill>
              <a:latin typeface="+mn-lt"/>
              <a:ea typeface="+mn-ea"/>
              <a:cs typeface="+mn-cs"/>
            </a:rPr>
            <a:t>Group</a:t>
          </a:r>
        </a:p>
      </xdr:txBody>
    </xdr:sp>
    <xdr:clientData fLocksWithSheet="0"/>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2</xdr:col>
          <xdr:colOff>190500</xdr:colOff>
          <xdr:row>0</xdr:row>
          <xdr:rowOff>0</xdr:rowOff>
        </xdr:to>
        <xdr:sp macro="" textlink="">
          <xdr:nvSpPr>
            <xdr:cNvPr id="240647" name="CustomMemberDispatchertb1" hidden="1">
              <a:extLst>
                <a:ext uri="{63B3BB69-23CF-44E3-9099-C40C66FF867C}">
                  <a14:compatExt spid="_x0000_s240647"/>
                </a:ext>
                <a:ext uri="{FF2B5EF4-FFF2-40B4-BE49-F238E27FC236}">
                  <a16:creationId xmlns:a16="http://schemas.microsoft.com/office/drawing/2014/main" id="{00000000-0008-0000-0600-000007A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1</xdr:col>
      <xdr:colOff>160338</xdr:colOff>
      <xdr:row>6</xdr:row>
      <xdr:rowOff>35719</xdr:rowOff>
    </xdr:from>
    <xdr:to>
      <xdr:col>3</xdr:col>
      <xdr:colOff>473870</xdr:colOff>
      <xdr:row>7</xdr:row>
      <xdr:rowOff>78581</xdr:rowOff>
    </xdr:to>
    <xdr:sp macro="[0]!Refresh"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66688" y="1226344"/>
          <a:ext cx="1621632" cy="35718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Refresh Workbook</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12700</xdr:rowOff>
        </xdr:to>
        <xdr:sp macro="" textlink="">
          <xdr:nvSpPr>
            <xdr:cNvPr id="221185" name="FPMExcelClientSheetOptionstb1" hidden="1">
              <a:extLst>
                <a:ext uri="{63B3BB69-23CF-44E3-9099-C40C66FF867C}">
                  <a14:compatExt spid="_x0000_s221185"/>
                </a:ext>
                <a:ext uri="{FF2B5EF4-FFF2-40B4-BE49-F238E27FC236}">
                  <a16:creationId xmlns:a16="http://schemas.microsoft.com/office/drawing/2014/main" id="{00000000-0008-0000-0700-000001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21186" name="MultipleReportManagerInfotb1" hidden="1">
              <a:extLst>
                <a:ext uri="{63B3BB69-23CF-44E3-9099-C40C66FF867C}">
                  <a14:compatExt spid="_x0000_s221186"/>
                </a:ext>
                <a:ext uri="{FF2B5EF4-FFF2-40B4-BE49-F238E27FC236}">
                  <a16:creationId xmlns:a16="http://schemas.microsoft.com/office/drawing/2014/main" id="{00000000-0008-0000-0700-000002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21187" name="ConnectionDescriptorsInfotb1" hidden="1">
              <a:extLst>
                <a:ext uri="{63B3BB69-23CF-44E3-9099-C40C66FF867C}">
                  <a14:compatExt spid="_x0000_s221187"/>
                </a:ext>
                <a:ext uri="{FF2B5EF4-FFF2-40B4-BE49-F238E27FC236}">
                  <a16:creationId xmlns:a16="http://schemas.microsoft.com/office/drawing/2014/main" id="{00000000-0008-0000-0700-000003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21188" name="ReportSubmitManagerControltb1" hidden="1">
              <a:extLst>
                <a:ext uri="{63B3BB69-23CF-44E3-9099-C40C66FF867C}">
                  <a14:compatExt spid="_x0000_s221188"/>
                </a:ext>
                <a:ext uri="{FF2B5EF4-FFF2-40B4-BE49-F238E27FC236}">
                  <a16:creationId xmlns:a16="http://schemas.microsoft.com/office/drawing/2014/main" id="{00000000-0008-0000-0700-000004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21189" name="ReportSubmitControl_1tb1" hidden="1">
              <a:extLst>
                <a:ext uri="{63B3BB69-23CF-44E3-9099-C40C66FF867C}">
                  <a14:compatExt spid="_x0000_s221189"/>
                </a:ext>
                <a:ext uri="{FF2B5EF4-FFF2-40B4-BE49-F238E27FC236}">
                  <a16:creationId xmlns:a16="http://schemas.microsoft.com/office/drawing/2014/main" id="{00000000-0008-0000-0700-000005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374650</xdr:colOff>
          <xdr:row>0</xdr:row>
          <xdr:rowOff>0</xdr:rowOff>
        </xdr:to>
        <xdr:sp macro="" textlink="">
          <xdr:nvSpPr>
            <xdr:cNvPr id="221190" name="AnalyzerDynReport000tb1" hidden="1">
              <a:extLst>
                <a:ext uri="{63B3BB69-23CF-44E3-9099-C40C66FF867C}">
                  <a14:compatExt spid="_x0000_s221190"/>
                </a:ext>
                <a:ext uri="{FF2B5EF4-FFF2-40B4-BE49-F238E27FC236}">
                  <a16:creationId xmlns:a16="http://schemas.microsoft.com/office/drawing/2014/main" id="{00000000-0008-0000-0700-000006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4</xdr:col>
      <xdr:colOff>47770</xdr:colOff>
      <xdr:row>1</xdr:row>
      <xdr:rowOff>18802</xdr:rowOff>
    </xdr:from>
    <xdr:to>
      <xdr:col>4</xdr:col>
      <xdr:colOff>781566</xdr:colOff>
      <xdr:row>2</xdr:row>
      <xdr:rowOff>106424</xdr:rowOff>
    </xdr:to>
    <xdr:sp macro="[0]!Ungroup" textlink="">
      <xdr:nvSpPr>
        <xdr:cNvPr id="2" name="Rectangle 1">
          <a:extLst>
            <a:ext uri="{FF2B5EF4-FFF2-40B4-BE49-F238E27FC236}">
              <a16:creationId xmlns:a16="http://schemas.microsoft.com/office/drawing/2014/main" id="{00000000-0008-0000-0700-000002000000}"/>
            </a:ext>
          </a:extLst>
        </xdr:cNvPr>
        <xdr:cNvSpPr/>
      </xdr:nvSpPr>
      <xdr:spPr>
        <a:xfrm>
          <a:off x="7086745" y="256927"/>
          <a:ext cx="733796" cy="278122"/>
        </a:xfrm>
        <a:prstGeom prst="rect">
          <a:avLst/>
        </a:prstGeom>
        <a:solidFill>
          <a:schemeClr val="accent2">
            <a:lumMod val="75000"/>
          </a:schemeClr>
        </a:solidFill>
        <a:effectLst>
          <a:glow rad="63500">
            <a:schemeClr val="tx1">
              <a:alpha val="40000"/>
            </a:schemeClr>
          </a:glow>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tlCol="0" anchor="ctr"/>
        <a:lstStyle/>
        <a:p>
          <a:pPr marL="0" indent="0" algn="ctr"/>
          <a:r>
            <a:rPr lang="en-US" sz="1100" b="1">
              <a:solidFill>
                <a:schemeClr val="lt1"/>
              </a:solidFill>
              <a:latin typeface="+mn-lt"/>
              <a:ea typeface="+mn-ea"/>
              <a:cs typeface="+mn-cs"/>
            </a:rPr>
            <a:t>UnGroup</a:t>
          </a:r>
        </a:p>
      </xdr:txBody>
    </xdr:sp>
    <xdr:clientData fLocksWithSheet="0"/>
  </xdr:twoCellAnchor>
  <xdr:twoCellAnchor editAs="absolute">
    <xdr:from>
      <xdr:col>4</xdr:col>
      <xdr:colOff>46931</xdr:colOff>
      <xdr:row>3</xdr:row>
      <xdr:rowOff>6893</xdr:rowOff>
    </xdr:from>
    <xdr:to>
      <xdr:col>4</xdr:col>
      <xdr:colOff>791151</xdr:colOff>
      <xdr:row>4</xdr:row>
      <xdr:rowOff>82889</xdr:rowOff>
    </xdr:to>
    <xdr:sp macro="[0]!Group" textlink="">
      <xdr:nvSpPr>
        <xdr:cNvPr id="3" name="Rectangle 2">
          <a:extLst>
            <a:ext uri="{FF2B5EF4-FFF2-40B4-BE49-F238E27FC236}">
              <a16:creationId xmlns:a16="http://schemas.microsoft.com/office/drawing/2014/main" id="{00000000-0008-0000-0700-000003000000}"/>
            </a:ext>
          </a:extLst>
        </xdr:cNvPr>
        <xdr:cNvSpPr/>
      </xdr:nvSpPr>
      <xdr:spPr>
        <a:xfrm>
          <a:off x="7092256" y="614112"/>
          <a:ext cx="731520" cy="278402"/>
        </a:xfrm>
        <a:prstGeom prst="rect">
          <a:avLst/>
        </a:prstGeom>
        <a:solidFill>
          <a:schemeClr val="accent2">
            <a:lumMod val="75000"/>
          </a:schemeClr>
        </a:solidFill>
        <a:effectLst>
          <a:glow rad="63500">
            <a:schemeClr val="tx1">
              <a:alpha val="40000"/>
            </a:schemeClr>
          </a:glow>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tlCol="0" anchor="ctr"/>
        <a:lstStyle/>
        <a:p>
          <a:pPr marL="0" indent="0" algn="ctr"/>
          <a:r>
            <a:rPr lang="en-US" sz="1100" b="1">
              <a:solidFill>
                <a:schemeClr val="lt1"/>
              </a:solidFill>
              <a:latin typeface="+mn-lt"/>
              <a:ea typeface="+mn-ea"/>
              <a:cs typeface="+mn-cs"/>
            </a:rPr>
            <a:t>Group</a:t>
          </a:r>
        </a:p>
      </xdr:txBody>
    </xdr:sp>
    <xdr:clientData fLocksWithSheet="0"/>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2</xdr:col>
          <xdr:colOff>190500</xdr:colOff>
          <xdr:row>0</xdr:row>
          <xdr:rowOff>0</xdr:rowOff>
        </xdr:to>
        <xdr:sp macro="" textlink="">
          <xdr:nvSpPr>
            <xdr:cNvPr id="221191" name="CustomMemberDispatchertb1" hidden="1">
              <a:extLst>
                <a:ext uri="{63B3BB69-23CF-44E3-9099-C40C66FF867C}">
                  <a14:compatExt spid="_x0000_s221191"/>
                </a:ext>
                <a:ext uri="{FF2B5EF4-FFF2-40B4-BE49-F238E27FC236}">
                  <a16:creationId xmlns:a16="http://schemas.microsoft.com/office/drawing/2014/main" id="{00000000-0008-0000-0700-0000076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1</xdr:col>
      <xdr:colOff>160338</xdr:colOff>
      <xdr:row>6</xdr:row>
      <xdr:rowOff>35719</xdr:rowOff>
    </xdr:from>
    <xdr:to>
      <xdr:col>3</xdr:col>
      <xdr:colOff>473870</xdr:colOff>
      <xdr:row>7</xdr:row>
      <xdr:rowOff>78581</xdr:rowOff>
    </xdr:to>
    <xdr:sp macro="[0]!Refresh" textlink="">
      <xdr:nvSpPr>
        <xdr:cNvPr id="4" name="Rectangle: Rounded Corners 3">
          <a:extLst>
            <a:ext uri="{FF2B5EF4-FFF2-40B4-BE49-F238E27FC236}">
              <a16:creationId xmlns:a16="http://schemas.microsoft.com/office/drawing/2014/main" id="{00000000-0008-0000-0700-000004000000}"/>
            </a:ext>
          </a:extLst>
        </xdr:cNvPr>
        <xdr:cNvSpPr/>
      </xdr:nvSpPr>
      <xdr:spPr>
        <a:xfrm>
          <a:off x="166688" y="1226344"/>
          <a:ext cx="1621632" cy="35718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Refresh Workbook</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05" name="ConnectionDescriptorsInfotb1" hidden="1">
              <a:extLst>
                <a:ext uri="{63B3BB69-23CF-44E3-9099-C40C66FF867C}">
                  <a14:compatExt spid="_x0000_s21505"/>
                </a:ext>
                <a:ext uri="{FF2B5EF4-FFF2-40B4-BE49-F238E27FC236}">
                  <a16:creationId xmlns:a16="http://schemas.microsoft.com/office/drawing/2014/main" id="{00000000-0008-0000-0800-000001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06" name="MultipleReportManagerInfotb1" hidden="1">
              <a:extLst>
                <a:ext uri="{63B3BB69-23CF-44E3-9099-C40C66FF867C}">
                  <a14:compatExt spid="_x0000_s21506"/>
                </a:ext>
                <a:ext uri="{FF2B5EF4-FFF2-40B4-BE49-F238E27FC236}">
                  <a16:creationId xmlns:a16="http://schemas.microsoft.com/office/drawing/2014/main" id="{00000000-0008-0000-0800-000002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07" name="FPMExcelClientSheetOptionstb1" hidden="1">
              <a:extLst>
                <a:ext uri="{63B3BB69-23CF-44E3-9099-C40C66FF867C}">
                  <a14:compatExt spid="_x0000_s21507"/>
                </a:ext>
                <a:ext uri="{FF2B5EF4-FFF2-40B4-BE49-F238E27FC236}">
                  <a16:creationId xmlns:a16="http://schemas.microsoft.com/office/drawing/2014/main" id="{00000000-0008-0000-0800-000003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08" name="ReportSubmitManagerControltb1" hidden="1">
              <a:extLst>
                <a:ext uri="{63B3BB69-23CF-44E3-9099-C40C66FF867C}">
                  <a14:compatExt spid="_x0000_s21508"/>
                </a:ext>
                <a:ext uri="{FF2B5EF4-FFF2-40B4-BE49-F238E27FC236}">
                  <a16:creationId xmlns:a16="http://schemas.microsoft.com/office/drawing/2014/main" id="{00000000-0008-0000-0800-000004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09" name="ReportSubmitControl_1tb1" hidden="1">
              <a:extLst>
                <a:ext uri="{63B3BB69-23CF-44E3-9099-C40C66FF867C}">
                  <a14:compatExt spid="_x0000_s21509"/>
                </a:ext>
                <a:ext uri="{FF2B5EF4-FFF2-40B4-BE49-F238E27FC236}">
                  <a16:creationId xmlns:a16="http://schemas.microsoft.com/office/drawing/2014/main" id="{00000000-0008-0000-0800-000005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304800</xdr:colOff>
          <xdr:row>0</xdr:row>
          <xdr:rowOff>0</xdr:rowOff>
        </xdr:to>
        <xdr:sp macro="" textlink="">
          <xdr:nvSpPr>
            <xdr:cNvPr id="21510" name="AnalyzerDynReport000tb1" hidden="1">
              <a:extLst>
                <a:ext uri="{63B3BB69-23CF-44E3-9099-C40C66FF867C}">
                  <a14:compatExt spid="_x0000_s21510"/>
                </a:ext>
                <a:ext uri="{FF2B5EF4-FFF2-40B4-BE49-F238E27FC236}">
                  <a16:creationId xmlns:a16="http://schemas.microsoft.com/office/drawing/2014/main" id="{00000000-0008-0000-0800-000006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4</xdr:col>
      <xdr:colOff>169864</xdr:colOff>
      <xdr:row>19</xdr:row>
      <xdr:rowOff>50799</xdr:rowOff>
    </xdr:from>
    <xdr:to>
      <xdr:col>4</xdr:col>
      <xdr:colOff>1297501</xdr:colOff>
      <xdr:row>20</xdr:row>
      <xdr:rowOff>160866</xdr:rowOff>
    </xdr:to>
    <xdr:sp macro="[0]!Refresh_SH" textlink="">
      <xdr:nvSpPr>
        <xdr:cNvPr id="8" name="Rectangle: Rounded Corners 7">
          <a:extLst>
            <a:ext uri="{FF2B5EF4-FFF2-40B4-BE49-F238E27FC236}">
              <a16:creationId xmlns:a16="http://schemas.microsoft.com/office/drawing/2014/main" id="{00000000-0008-0000-0800-000008000000}"/>
            </a:ext>
          </a:extLst>
        </xdr:cNvPr>
        <xdr:cNvSpPr/>
      </xdr:nvSpPr>
      <xdr:spPr>
        <a:xfrm>
          <a:off x="154783" y="1262062"/>
          <a:ext cx="1127637" cy="306917"/>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a:t>Refresh</a:t>
          </a: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7</xdr:col>
          <xdr:colOff>781050</xdr:colOff>
          <xdr:row>0</xdr:row>
          <xdr:rowOff>0</xdr:rowOff>
        </xdr:to>
        <xdr:sp macro="" textlink="">
          <xdr:nvSpPr>
            <xdr:cNvPr id="21511" name="CustomMemberDispatchertb1" hidden="1">
              <a:extLst>
                <a:ext uri="{63B3BB69-23CF-44E3-9099-C40C66FF867C}">
                  <a14:compatExt spid="_x0000_s21511"/>
                </a:ext>
                <a:ext uri="{FF2B5EF4-FFF2-40B4-BE49-F238E27FC236}">
                  <a16:creationId xmlns:a16="http://schemas.microsoft.com/office/drawing/2014/main" id="{00000000-0008-0000-0800-0000075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1" name="FPMExcelClientSheetOptionstb1" hidden="1">
              <a:extLst>
                <a:ext uri="{63B3BB69-23CF-44E3-9099-C40C66FF867C}">
                  <a14:compatExt spid="_x0000_s112641"/>
                </a:ext>
                <a:ext uri="{FF2B5EF4-FFF2-40B4-BE49-F238E27FC236}">
                  <a16:creationId xmlns:a16="http://schemas.microsoft.com/office/drawing/2014/main" id="{00000000-0008-0000-0900-000001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2" name="ConnectionDescriptorsInfotb1" hidden="1">
              <a:extLst>
                <a:ext uri="{63B3BB69-23CF-44E3-9099-C40C66FF867C}">
                  <a14:compatExt spid="_x0000_s112642"/>
                </a:ext>
                <a:ext uri="{FF2B5EF4-FFF2-40B4-BE49-F238E27FC236}">
                  <a16:creationId xmlns:a16="http://schemas.microsoft.com/office/drawing/2014/main" id="{00000000-0008-0000-0900-000002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3" name="MultipleReportManagerInfotb1" hidden="1">
              <a:extLst>
                <a:ext uri="{63B3BB69-23CF-44E3-9099-C40C66FF867C}">
                  <a14:compatExt spid="_x0000_s112643"/>
                </a:ext>
                <a:ext uri="{FF2B5EF4-FFF2-40B4-BE49-F238E27FC236}">
                  <a16:creationId xmlns:a16="http://schemas.microsoft.com/office/drawing/2014/main" id="{00000000-0008-0000-0900-000003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4" name="AnalyzerDynReport000tb1" hidden="1">
              <a:extLst>
                <a:ext uri="{63B3BB69-23CF-44E3-9099-C40C66FF867C}">
                  <a14:compatExt spid="_x0000_s112644"/>
                </a:ext>
                <a:ext uri="{FF2B5EF4-FFF2-40B4-BE49-F238E27FC236}">
                  <a16:creationId xmlns:a16="http://schemas.microsoft.com/office/drawing/2014/main" id="{00000000-0008-0000-0900-000004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5" name="AnalyzerDynReport001tb1" hidden="1">
              <a:extLst>
                <a:ext uri="{63B3BB69-23CF-44E3-9099-C40C66FF867C}">
                  <a14:compatExt spid="_x0000_s112645"/>
                </a:ext>
                <a:ext uri="{FF2B5EF4-FFF2-40B4-BE49-F238E27FC236}">
                  <a16:creationId xmlns:a16="http://schemas.microsoft.com/office/drawing/2014/main" id="{00000000-0008-0000-0900-000005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6" name="AnalyzerDynReport002tb1" hidden="1">
              <a:extLst>
                <a:ext uri="{63B3BB69-23CF-44E3-9099-C40C66FF867C}">
                  <a14:compatExt spid="_x0000_s112646"/>
                </a:ext>
                <a:ext uri="{FF2B5EF4-FFF2-40B4-BE49-F238E27FC236}">
                  <a16:creationId xmlns:a16="http://schemas.microsoft.com/office/drawing/2014/main" id="{00000000-0008-0000-0900-000006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7" name="AnalyzerDynReport003tb1" hidden="1">
              <a:extLst>
                <a:ext uri="{63B3BB69-23CF-44E3-9099-C40C66FF867C}">
                  <a14:compatExt spid="_x0000_s112647"/>
                </a:ext>
                <a:ext uri="{FF2B5EF4-FFF2-40B4-BE49-F238E27FC236}">
                  <a16:creationId xmlns:a16="http://schemas.microsoft.com/office/drawing/2014/main" id="{00000000-0008-0000-0900-000007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8" name="ReportSubmitManagerControltb1" hidden="1">
              <a:extLst>
                <a:ext uri="{63B3BB69-23CF-44E3-9099-C40C66FF867C}">
                  <a14:compatExt spid="_x0000_s112648"/>
                </a:ext>
                <a:ext uri="{FF2B5EF4-FFF2-40B4-BE49-F238E27FC236}">
                  <a16:creationId xmlns:a16="http://schemas.microsoft.com/office/drawing/2014/main" id="{00000000-0008-0000-0900-000008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49" name="ReportSubmitControl_1tb1" hidden="1">
              <a:extLst>
                <a:ext uri="{63B3BB69-23CF-44E3-9099-C40C66FF867C}">
                  <a14:compatExt spid="_x0000_s112649"/>
                </a:ext>
                <a:ext uri="{FF2B5EF4-FFF2-40B4-BE49-F238E27FC236}">
                  <a16:creationId xmlns:a16="http://schemas.microsoft.com/office/drawing/2014/main" id="{00000000-0008-0000-0900-000009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50" name="ReportSubmitControl_2tb1" hidden="1">
              <a:extLst>
                <a:ext uri="{63B3BB69-23CF-44E3-9099-C40C66FF867C}">
                  <a14:compatExt spid="_x0000_s112650"/>
                </a:ext>
                <a:ext uri="{FF2B5EF4-FFF2-40B4-BE49-F238E27FC236}">
                  <a16:creationId xmlns:a16="http://schemas.microsoft.com/office/drawing/2014/main" id="{00000000-0008-0000-0900-00000A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51" name="ReportSubmitControl_3tb1" hidden="1">
              <a:extLst>
                <a:ext uri="{63B3BB69-23CF-44E3-9099-C40C66FF867C}">
                  <a14:compatExt spid="_x0000_s112651"/>
                </a:ext>
                <a:ext uri="{FF2B5EF4-FFF2-40B4-BE49-F238E27FC236}">
                  <a16:creationId xmlns:a16="http://schemas.microsoft.com/office/drawing/2014/main" id="{00000000-0008-0000-0900-00000B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12652" name="ReportSubmitControl_4tb1" hidden="1">
              <a:extLst>
                <a:ext uri="{63B3BB69-23CF-44E3-9099-C40C66FF867C}">
                  <a14:compatExt spid="_x0000_s112652"/>
                </a:ext>
                <a:ext uri="{FF2B5EF4-FFF2-40B4-BE49-F238E27FC236}">
                  <a16:creationId xmlns:a16="http://schemas.microsoft.com/office/drawing/2014/main" id="{00000000-0008-0000-0900-00000C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6</xdr:col>
      <xdr:colOff>120650</xdr:colOff>
      <xdr:row>13</xdr:row>
      <xdr:rowOff>35718</xdr:rowOff>
    </xdr:from>
    <xdr:to>
      <xdr:col>7</xdr:col>
      <xdr:colOff>1104728</xdr:colOff>
      <xdr:row>14</xdr:row>
      <xdr:rowOff>163514</xdr:rowOff>
    </xdr:to>
    <xdr:sp macro="[0]!Refresh_SH" textlink="">
      <xdr:nvSpPr>
        <xdr:cNvPr id="15" name="Rectangle: Rounded Corners 14">
          <a:extLst>
            <a:ext uri="{FF2B5EF4-FFF2-40B4-BE49-F238E27FC236}">
              <a16:creationId xmlns:a16="http://schemas.microsoft.com/office/drawing/2014/main" id="{00000000-0008-0000-0900-00000F000000}"/>
            </a:ext>
          </a:extLst>
        </xdr:cNvPr>
        <xdr:cNvSpPr/>
      </xdr:nvSpPr>
      <xdr:spPr>
        <a:xfrm>
          <a:off x="127000" y="1250156"/>
          <a:ext cx="1120603" cy="3119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a:t>Refresh</a:t>
          </a: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7</xdr:col>
          <xdr:colOff>774700</xdr:colOff>
          <xdr:row>0</xdr:row>
          <xdr:rowOff>0</xdr:rowOff>
        </xdr:to>
        <xdr:sp macro="" textlink="">
          <xdr:nvSpPr>
            <xdr:cNvPr id="112653" name="CustomMemberDispatchertb1" hidden="1">
              <a:extLst>
                <a:ext uri="{63B3BB69-23CF-44E3-9099-C40C66FF867C}">
                  <a14:compatExt spid="_x0000_s112653"/>
                </a:ext>
                <a:ext uri="{FF2B5EF4-FFF2-40B4-BE49-F238E27FC236}">
                  <a16:creationId xmlns:a16="http://schemas.microsoft.com/office/drawing/2014/main" id="{00000000-0008-0000-0900-00000DB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15.xml"/><Relationship Id="rId21" Type="http://schemas.openxmlformats.org/officeDocument/2006/relationships/ctrlProp" Target="../ctrlProps/ctrlProp10.xml"/><Relationship Id="rId42" Type="http://schemas.openxmlformats.org/officeDocument/2006/relationships/ctrlProp" Target="../ctrlProps/ctrlProp31.xml"/><Relationship Id="rId47" Type="http://schemas.openxmlformats.org/officeDocument/2006/relationships/ctrlProp" Target="../ctrlProps/ctrlProp36.xml"/><Relationship Id="rId63" Type="http://schemas.openxmlformats.org/officeDocument/2006/relationships/ctrlProp" Target="../ctrlProps/ctrlProp52.xml"/><Relationship Id="rId68" Type="http://schemas.openxmlformats.org/officeDocument/2006/relationships/ctrlProp" Target="../ctrlProps/ctrlProp57.xml"/><Relationship Id="rId84" Type="http://schemas.openxmlformats.org/officeDocument/2006/relationships/ctrlProp" Target="../ctrlProps/ctrlProp73.xml"/><Relationship Id="rId89" Type="http://schemas.openxmlformats.org/officeDocument/2006/relationships/ctrlProp" Target="../ctrlProps/ctrlProp78.xml"/><Relationship Id="rId16" Type="http://schemas.openxmlformats.org/officeDocument/2006/relationships/ctrlProp" Target="../ctrlProps/ctrlProp5.xml"/><Relationship Id="rId11" Type="http://schemas.openxmlformats.org/officeDocument/2006/relationships/control" Target="../activeX/activeX4.xml"/><Relationship Id="rId32" Type="http://schemas.openxmlformats.org/officeDocument/2006/relationships/ctrlProp" Target="../ctrlProps/ctrlProp21.xml"/><Relationship Id="rId37" Type="http://schemas.openxmlformats.org/officeDocument/2006/relationships/ctrlProp" Target="../ctrlProps/ctrlProp26.xml"/><Relationship Id="rId53" Type="http://schemas.openxmlformats.org/officeDocument/2006/relationships/ctrlProp" Target="../ctrlProps/ctrlProp42.xml"/><Relationship Id="rId58" Type="http://schemas.openxmlformats.org/officeDocument/2006/relationships/ctrlProp" Target="../ctrlProps/ctrlProp47.xml"/><Relationship Id="rId74" Type="http://schemas.openxmlformats.org/officeDocument/2006/relationships/ctrlProp" Target="../ctrlProps/ctrlProp63.xml"/><Relationship Id="rId79" Type="http://schemas.openxmlformats.org/officeDocument/2006/relationships/ctrlProp" Target="../ctrlProps/ctrlProp68.xml"/><Relationship Id="rId5" Type="http://schemas.openxmlformats.org/officeDocument/2006/relationships/vmlDrawing" Target="../drawings/vmlDrawing1.vml"/><Relationship Id="rId90" Type="http://schemas.openxmlformats.org/officeDocument/2006/relationships/ctrlProp" Target="../ctrlProps/ctrlProp79.xml"/><Relationship Id="rId95" Type="http://schemas.openxmlformats.org/officeDocument/2006/relationships/ctrlProp" Target="../ctrlProps/ctrlProp84.xml"/><Relationship Id="rId22" Type="http://schemas.openxmlformats.org/officeDocument/2006/relationships/ctrlProp" Target="../ctrlProps/ctrlProp11.xml"/><Relationship Id="rId27" Type="http://schemas.openxmlformats.org/officeDocument/2006/relationships/ctrlProp" Target="../ctrlProps/ctrlProp16.xml"/><Relationship Id="rId43" Type="http://schemas.openxmlformats.org/officeDocument/2006/relationships/ctrlProp" Target="../ctrlProps/ctrlProp32.xml"/><Relationship Id="rId48" Type="http://schemas.openxmlformats.org/officeDocument/2006/relationships/ctrlProp" Target="../ctrlProps/ctrlProp37.xml"/><Relationship Id="rId64" Type="http://schemas.openxmlformats.org/officeDocument/2006/relationships/ctrlProp" Target="../ctrlProps/ctrlProp53.xml"/><Relationship Id="rId69" Type="http://schemas.openxmlformats.org/officeDocument/2006/relationships/ctrlProp" Target="../ctrlProps/ctrlProp58.xml"/><Relationship Id="rId8" Type="http://schemas.openxmlformats.org/officeDocument/2006/relationships/control" Target="../activeX/activeX2.xml"/><Relationship Id="rId51" Type="http://schemas.openxmlformats.org/officeDocument/2006/relationships/ctrlProp" Target="../ctrlProps/ctrlProp40.xml"/><Relationship Id="rId72" Type="http://schemas.openxmlformats.org/officeDocument/2006/relationships/ctrlProp" Target="../ctrlProps/ctrlProp61.xml"/><Relationship Id="rId80" Type="http://schemas.openxmlformats.org/officeDocument/2006/relationships/ctrlProp" Target="../ctrlProps/ctrlProp69.xml"/><Relationship Id="rId85" Type="http://schemas.openxmlformats.org/officeDocument/2006/relationships/ctrlProp" Target="../ctrlProps/ctrlProp74.xml"/><Relationship Id="rId93" Type="http://schemas.openxmlformats.org/officeDocument/2006/relationships/ctrlProp" Target="../ctrlProps/ctrlProp82.xml"/><Relationship Id="rId3" Type="http://schemas.openxmlformats.org/officeDocument/2006/relationships/customProperty" Target="../customProperty2.bin"/><Relationship Id="rId12" Type="http://schemas.openxmlformats.org/officeDocument/2006/relationships/ctrlProp" Target="../ctrlProps/ctrlProp1.xml"/><Relationship Id="rId17" Type="http://schemas.openxmlformats.org/officeDocument/2006/relationships/ctrlProp" Target="../ctrlProps/ctrlProp6.xml"/><Relationship Id="rId25" Type="http://schemas.openxmlformats.org/officeDocument/2006/relationships/ctrlProp" Target="../ctrlProps/ctrlProp14.xml"/><Relationship Id="rId33" Type="http://schemas.openxmlformats.org/officeDocument/2006/relationships/ctrlProp" Target="../ctrlProps/ctrlProp22.xml"/><Relationship Id="rId38" Type="http://schemas.openxmlformats.org/officeDocument/2006/relationships/ctrlProp" Target="../ctrlProps/ctrlProp27.xml"/><Relationship Id="rId46" Type="http://schemas.openxmlformats.org/officeDocument/2006/relationships/ctrlProp" Target="../ctrlProps/ctrlProp35.xml"/><Relationship Id="rId59" Type="http://schemas.openxmlformats.org/officeDocument/2006/relationships/ctrlProp" Target="../ctrlProps/ctrlProp48.xml"/><Relationship Id="rId67" Type="http://schemas.openxmlformats.org/officeDocument/2006/relationships/ctrlProp" Target="../ctrlProps/ctrlProp56.xml"/><Relationship Id="rId20" Type="http://schemas.openxmlformats.org/officeDocument/2006/relationships/ctrlProp" Target="../ctrlProps/ctrlProp9.xml"/><Relationship Id="rId41" Type="http://schemas.openxmlformats.org/officeDocument/2006/relationships/ctrlProp" Target="../ctrlProps/ctrlProp30.xml"/><Relationship Id="rId54" Type="http://schemas.openxmlformats.org/officeDocument/2006/relationships/ctrlProp" Target="../ctrlProps/ctrlProp43.xml"/><Relationship Id="rId62" Type="http://schemas.openxmlformats.org/officeDocument/2006/relationships/ctrlProp" Target="../ctrlProps/ctrlProp51.xml"/><Relationship Id="rId70" Type="http://schemas.openxmlformats.org/officeDocument/2006/relationships/ctrlProp" Target="../ctrlProps/ctrlProp59.xml"/><Relationship Id="rId75" Type="http://schemas.openxmlformats.org/officeDocument/2006/relationships/ctrlProp" Target="../ctrlProps/ctrlProp64.xml"/><Relationship Id="rId83" Type="http://schemas.openxmlformats.org/officeDocument/2006/relationships/ctrlProp" Target="../ctrlProps/ctrlProp72.xml"/><Relationship Id="rId88" Type="http://schemas.openxmlformats.org/officeDocument/2006/relationships/ctrlProp" Target="../ctrlProps/ctrlProp77.xml"/><Relationship Id="rId91" Type="http://schemas.openxmlformats.org/officeDocument/2006/relationships/ctrlProp" Target="../ctrlProps/ctrlProp80.xml"/><Relationship Id="rId9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control" Target="../activeX/activeX1.xml"/><Relationship Id="rId15" Type="http://schemas.openxmlformats.org/officeDocument/2006/relationships/ctrlProp" Target="../ctrlProps/ctrlProp4.xml"/><Relationship Id="rId23" Type="http://schemas.openxmlformats.org/officeDocument/2006/relationships/ctrlProp" Target="../ctrlProps/ctrlProp12.xml"/><Relationship Id="rId28" Type="http://schemas.openxmlformats.org/officeDocument/2006/relationships/ctrlProp" Target="../ctrlProps/ctrlProp17.xml"/><Relationship Id="rId36" Type="http://schemas.openxmlformats.org/officeDocument/2006/relationships/ctrlProp" Target="../ctrlProps/ctrlProp25.xml"/><Relationship Id="rId49" Type="http://schemas.openxmlformats.org/officeDocument/2006/relationships/ctrlProp" Target="../ctrlProps/ctrlProp38.xml"/><Relationship Id="rId57" Type="http://schemas.openxmlformats.org/officeDocument/2006/relationships/ctrlProp" Target="../ctrlProps/ctrlProp46.xml"/><Relationship Id="rId10" Type="http://schemas.openxmlformats.org/officeDocument/2006/relationships/image" Target="../media/image2.emf"/><Relationship Id="rId31" Type="http://schemas.openxmlformats.org/officeDocument/2006/relationships/ctrlProp" Target="../ctrlProps/ctrlProp20.xml"/><Relationship Id="rId44" Type="http://schemas.openxmlformats.org/officeDocument/2006/relationships/ctrlProp" Target="../ctrlProps/ctrlProp33.xml"/><Relationship Id="rId52" Type="http://schemas.openxmlformats.org/officeDocument/2006/relationships/ctrlProp" Target="../ctrlProps/ctrlProp41.xml"/><Relationship Id="rId60" Type="http://schemas.openxmlformats.org/officeDocument/2006/relationships/ctrlProp" Target="../ctrlProps/ctrlProp49.xml"/><Relationship Id="rId65" Type="http://schemas.openxmlformats.org/officeDocument/2006/relationships/ctrlProp" Target="../ctrlProps/ctrlProp54.xml"/><Relationship Id="rId73" Type="http://schemas.openxmlformats.org/officeDocument/2006/relationships/ctrlProp" Target="../ctrlProps/ctrlProp62.xml"/><Relationship Id="rId78" Type="http://schemas.openxmlformats.org/officeDocument/2006/relationships/ctrlProp" Target="../ctrlProps/ctrlProp67.xml"/><Relationship Id="rId81" Type="http://schemas.openxmlformats.org/officeDocument/2006/relationships/ctrlProp" Target="../ctrlProps/ctrlProp70.xml"/><Relationship Id="rId86" Type="http://schemas.openxmlformats.org/officeDocument/2006/relationships/ctrlProp" Target="../ctrlProps/ctrlProp75.xml"/><Relationship Id="rId94" Type="http://schemas.openxmlformats.org/officeDocument/2006/relationships/ctrlProp" Target="../ctrlProps/ctrlProp83.xml"/><Relationship Id="rId4" Type="http://schemas.openxmlformats.org/officeDocument/2006/relationships/drawing" Target="../drawings/drawing1.xml"/><Relationship Id="rId9" Type="http://schemas.openxmlformats.org/officeDocument/2006/relationships/control" Target="../activeX/activeX3.xml"/><Relationship Id="rId13" Type="http://schemas.openxmlformats.org/officeDocument/2006/relationships/ctrlProp" Target="../ctrlProps/ctrlProp2.xml"/><Relationship Id="rId18" Type="http://schemas.openxmlformats.org/officeDocument/2006/relationships/ctrlProp" Target="../ctrlProps/ctrlProp7.xml"/><Relationship Id="rId39" Type="http://schemas.openxmlformats.org/officeDocument/2006/relationships/ctrlProp" Target="../ctrlProps/ctrlProp28.xml"/><Relationship Id="rId34" Type="http://schemas.openxmlformats.org/officeDocument/2006/relationships/ctrlProp" Target="../ctrlProps/ctrlProp23.xml"/><Relationship Id="rId50" Type="http://schemas.openxmlformats.org/officeDocument/2006/relationships/ctrlProp" Target="../ctrlProps/ctrlProp39.xml"/><Relationship Id="rId55" Type="http://schemas.openxmlformats.org/officeDocument/2006/relationships/ctrlProp" Target="../ctrlProps/ctrlProp44.xml"/><Relationship Id="rId76" Type="http://schemas.openxmlformats.org/officeDocument/2006/relationships/ctrlProp" Target="../ctrlProps/ctrlProp65.xml"/><Relationship Id="rId7" Type="http://schemas.openxmlformats.org/officeDocument/2006/relationships/image" Target="../media/image1.emf"/><Relationship Id="rId71" Type="http://schemas.openxmlformats.org/officeDocument/2006/relationships/ctrlProp" Target="../ctrlProps/ctrlProp60.xml"/><Relationship Id="rId92" Type="http://schemas.openxmlformats.org/officeDocument/2006/relationships/ctrlProp" Target="../ctrlProps/ctrlProp81.xml"/><Relationship Id="rId2" Type="http://schemas.openxmlformats.org/officeDocument/2006/relationships/customProperty" Target="../customProperty1.bin"/><Relationship Id="rId29" Type="http://schemas.openxmlformats.org/officeDocument/2006/relationships/ctrlProp" Target="../ctrlProps/ctrlProp18.xml"/><Relationship Id="rId24" Type="http://schemas.openxmlformats.org/officeDocument/2006/relationships/ctrlProp" Target="../ctrlProps/ctrlProp13.xml"/><Relationship Id="rId40" Type="http://schemas.openxmlformats.org/officeDocument/2006/relationships/ctrlProp" Target="../ctrlProps/ctrlProp29.xml"/><Relationship Id="rId45" Type="http://schemas.openxmlformats.org/officeDocument/2006/relationships/ctrlProp" Target="../ctrlProps/ctrlProp34.xml"/><Relationship Id="rId66" Type="http://schemas.openxmlformats.org/officeDocument/2006/relationships/ctrlProp" Target="../ctrlProps/ctrlProp55.xml"/><Relationship Id="rId87" Type="http://schemas.openxmlformats.org/officeDocument/2006/relationships/ctrlProp" Target="../ctrlProps/ctrlProp76.xml"/><Relationship Id="rId61" Type="http://schemas.openxmlformats.org/officeDocument/2006/relationships/ctrlProp" Target="../ctrlProps/ctrlProp50.xml"/><Relationship Id="rId82" Type="http://schemas.openxmlformats.org/officeDocument/2006/relationships/ctrlProp" Target="../ctrlProps/ctrlProp71.xml"/><Relationship Id="rId19" Type="http://schemas.openxmlformats.org/officeDocument/2006/relationships/ctrlProp" Target="../ctrlProps/ctrlProp8.xml"/><Relationship Id="rId14" Type="http://schemas.openxmlformats.org/officeDocument/2006/relationships/ctrlProp" Target="../ctrlProps/ctrlProp3.xml"/><Relationship Id="rId30" Type="http://schemas.openxmlformats.org/officeDocument/2006/relationships/ctrlProp" Target="../ctrlProps/ctrlProp19.xml"/><Relationship Id="rId35" Type="http://schemas.openxmlformats.org/officeDocument/2006/relationships/ctrlProp" Target="../ctrlProps/ctrlProp24.xml"/><Relationship Id="rId56" Type="http://schemas.openxmlformats.org/officeDocument/2006/relationships/ctrlProp" Target="../ctrlProps/ctrlProp45.xml"/><Relationship Id="rId77" Type="http://schemas.openxmlformats.org/officeDocument/2006/relationships/ctrlProp" Target="../ctrlProps/ctrlProp66.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99.xml"/><Relationship Id="rId21" Type="http://schemas.openxmlformats.org/officeDocument/2006/relationships/ctrlProp" Target="../ctrlProps/ctrlProp94.xml"/><Relationship Id="rId34" Type="http://schemas.openxmlformats.org/officeDocument/2006/relationships/ctrlProp" Target="../ctrlProps/ctrlProp107.xml"/><Relationship Id="rId42" Type="http://schemas.openxmlformats.org/officeDocument/2006/relationships/ctrlProp" Target="../ctrlProps/ctrlProp115.xml"/><Relationship Id="rId47" Type="http://schemas.openxmlformats.org/officeDocument/2006/relationships/ctrlProp" Target="../ctrlProps/ctrlProp120.xml"/><Relationship Id="rId50" Type="http://schemas.openxmlformats.org/officeDocument/2006/relationships/ctrlProp" Target="../ctrlProps/ctrlProp123.xml"/><Relationship Id="rId55" Type="http://schemas.openxmlformats.org/officeDocument/2006/relationships/ctrlProp" Target="../ctrlProps/ctrlProp128.xml"/><Relationship Id="rId63" Type="http://schemas.openxmlformats.org/officeDocument/2006/relationships/ctrlProp" Target="../ctrlProps/ctrlProp136.xml"/><Relationship Id="rId68" Type="http://schemas.openxmlformats.org/officeDocument/2006/relationships/comments" Target="../comments2.xml"/><Relationship Id="rId7" Type="http://schemas.openxmlformats.org/officeDocument/2006/relationships/image" Target="../media/image1.emf"/><Relationship Id="rId2" Type="http://schemas.openxmlformats.org/officeDocument/2006/relationships/customProperty" Target="../customProperty3.bin"/><Relationship Id="rId16" Type="http://schemas.openxmlformats.org/officeDocument/2006/relationships/ctrlProp" Target="../ctrlProps/ctrlProp89.xml"/><Relationship Id="rId29" Type="http://schemas.openxmlformats.org/officeDocument/2006/relationships/ctrlProp" Target="../ctrlProps/ctrlProp102.xml"/><Relationship Id="rId11" Type="http://schemas.openxmlformats.org/officeDocument/2006/relationships/control" Target="../activeX/activeX8.xml"/><Relationship Id="rId24" Type="http://schemas.openxmlformats.org/officeDocument/2006/relationships/ctrlProp" Target="../ctrlProps/ctrlProp97.xml"/><Relationship Id="rId32" Type="http://schemas.openxmlformats.org/officeDocument/2006/relationships/ctrlProp" Target="../ctrlProps/ctrlProp105.xml"/><Relationship Id="rId37" Type="http://schemas.openxmlformats.org/officeDocument/2006/relationships/ctrlProp" Target="../ctrlProps/ctrlProp110.xml"/><Relationship Id="rId40" Type="http://schemas.openxmlformats.org/officeDocument/2006/relationships/ctrlProp" Target="../ctrlProps/ctrlProp113.xml"/><Relationship Id="rId45" Type="http://schemas.openxmlformats.org/officeDocument/2006/relationships/ctrlProp" Target="../ctrlProps/ctrlProp118.xml"/><Relationship Id="rId53" Type="http://schemas.openxmlformats.org/officeDocument/2006/relationships/ctrlProp" Target="../ctrlProps/ctrlProp126.xml"/><Relationship Id="rId58" Type="http://schemas.openxmlformats.org/officeDocument/2006/relationships/ctrlProp" Target="../ctrlProps/ctrlProp131.xml"/><Relationship Id="rId66" Type="http://schemas.openxmlformats.org/officeDocument/2006/relationships/ctrlProp" Target="../ctrlProps/ctrlProp139.xml"/><Relationship Id="rId5" Type="http://schemas.openxmlformats.org/officeDocument/2006/relationships/vmlDrawing" Target="../drawings/vmlDrawing2.vml"/><Relationship Id="rId61" Type="http://schemas.openxmlformats.org/officeDocument/2006/relationships/ctrlProp" Target="../ctrlProps/ctrlProp134.xml"/><Relationship Id="rId19" Type="http://schemas.openxmlformats.org/officeDocument/2006/relationships/ctrlProp" Target="../ctrlProps/ctrlProp92.xml"/><Relationship Id="rId14" Type="http://schemas.openxmlformats.org/officeDocument/2006/relationships/ctrlProp" Target="../ctrlProps/ctrlProp87.xml"/><Relationship Id="rId22" Type="http://schemas.openxmlformats.org/officeDocument/2006/relationships/ctrlProp" Target="../ctrlProps/ctrlProp95.xml"/><Relationship Id="rId27" Type="http://schemas.openxmlformats.org/officeDocument/2006/relationships/ctrlProp" Target="../ctrlProps/ctrlProp100.xml"/><Relationship Id="rId30" Type="http://schemas.openxmlformats.org/officeDocument/2006/relationships/ctrlProp" Target="../ctrlProps/ctrlProp103.xml"/><Relationship Id="rId35" Type="http://schemas.openxmlformats.org/officeDocument/2006/relationships/ctrlProp" Target="../ctrlProps/ctrlProp108.xml"/><Relationship Id="rId43" Type="http://schemas.openxmlformats.org/officeDocument/2006/relationships/ctrlProp" Target="../ctrlProps/ctrlProp116.xml"/><Relationship Id="rId48" Type="http://schemas.openxmlformats.org/officeDocument/2006/relationships/ctrlProp" Target="../ctrlProps/ctrlProp121.xml"/><Relationship Id="rId56" Type="http://schemas.openxmlformats.org/officeDocument/2006/relationships/ctrlProp" Target="../ctrlProps/ctrlProp129.xml"/><Relationship Id="rId64" Type="http://schemas.openxmlformats.org/officeDocument/2006/relationships/ctrlProp" Target="../ctrlProps/ctrlProp137.xml"/><Relationship Id="rId8" Type="http://schemas.openxmlformats.org/officeDocument/2006/relationships/control" Target="../activeX/activeX6.xml"/><Relationship Id="rId51" Type="http://schemas.openxmlformats.org/officeDocument/2006/relationships/ctrlProp" Target="../ctrlProps/ctrlProp124.xml"/><Relationship Id="rId3" Type="http://schemas.openxmlformats.org/officeDocument/2006/relationships/customProperty" Target="../customProperty4.bin"/><Relationship Id="rId12" Type="http://schemas.openxmlformats.org/officeDocument/2006/relationships/ctrlProp" Target="../ctrlProps/ctrlProp85.xml"/><Relationship Id="rId17" Type="http://schemas.openxmlformats.org/officeDocument/2006/relationships/ctrlProp" Target="../ctrlProps/ctrlProp90.xml"/><Relationship Id="rId25" Type="http://schemas.openxmlformats.org/officeDocument/2006/relationships/ctrlProp" Target="../ctrlProps/ctrlProp98.xml"/><Relationship Id="rId33" Type="http://schemas.openxmlformats.org/officeDocument/2006/relationships/ctrlProp" Target="../ctrlProps/ctrlProp106.xml"/><Relationship Id="rId38" Type="http://schemas.openxmlformats.org/officeDocument/2006/relationships/ctrlProp" Target="../ctrlProps/ctrlProp111.xml"/><Relationship Id="rId46" Type="http://schemas.openxmlformats.org/officeDocument/2006/relationships/ctrlProp" Target="../ctrlProps/ctrlProp119.xml"/><Relationship Id="rId59" Type="http://schemas.openxmlformats.org/officeDocument/2006/relationships/ctrlProp" Target="../ctrlProps/ctrlProp132.xml"/><Relationship Id="rId67" Type="http://schemas.openxmlformats.org/officeDocument/2006/relationships/ctrlProp" Target="../ctrlProps/ctrlProp140.xml"/><Relationship Id="rId20" Type="http://schemas.openxmlformats.org/officeDocument/2006/relationships/ctrlProp" Target="../ctrlProps/ctrlProp93.xml"/><Relationship Id="rId41" Type="http://schemas.openxmlformats.org/officeDocument/2006/relationships/ctrlProp" Target="../ctrlProps/ctrlProp114.xml"/><Relationship Id="rId54" Type="http://schemas.openxmlformats.org/officeDocument/2006/relationships/ctrlProp" Target="../ctrlProps/ctrlProp127.xml"/><Relationship Id="rId62" Type="http://schemas.openxmlformats.org/officeDocument/2006/relationships/ctrlProp" Target="../ctrlProps/ctrlProp135.xml"/><Relationship Id="rId1" Type="http://schemas.openxmlformats.org/officeDocument/2006/relationships/printerSettings" Target="../printerSettings/printerSettings2.bin"/><Relationship Id="rId6" Type="http://schemas.openxmlformats.org/officeDocument/2006/relationships/control" Target="../activeX/activeX5.xml"/><Relationship Id="rId15" Type="http://schemas.openxmlformats.org/officeDocument/2006/relationships/ctrlProp" Target="../ctrlProps/ctrlProp88.xml"/><Relationship Id="rId23" Type="http://schemas.openxmlformats.org/officeDocument/2006/relationships/ctrlProp" Target="../ctrlProps/ctrlProp96.xml"/><Relationship Id="rId28" Type="http://schemas.openxmlformats.org/officeDocument/2006/relationships/ctrlProp" Target="../ctrlProps/ctrlProp101.xml"/><Relationship Id="rId36" Type="http://schemas.openxmlformats.org/officeDocument/2006/relationships/ctrlProp" Target="../ctrlProps/ctrlProp109.xml"/><Relationship Id="rId49" Type="http://schemas.openxmlformats.org/officeDocument/2006/relationships/ctrlProp" Target="../ctrlProps/ctrlProp122.xml"/><Relationship Id="rId57" Type="http://schemas.openxmlformats.org/officeDocument/2006/relationships/ctrlProp" Target="../ctrlProps/ctrlProp130.xml"/><Relationship Id="rId10" Type="http://schemas.openxmlformats.org/officeDocument/2006/relationships/image" Target="../media/image2.emf"/><Relationship Id="rId31" Type="http://schemas.openxmlformats.org/officeDocument/2006/relationships/ctrlProp" Target="../ctrlProps/ctrlProp104.xml"/><Relationship Id="rId44" Type="http://schemas.openxmlformats.org/officeDocument/2006/relationships/ctrlProp" Target="../ctrlProps/ctrlProp117.xml"/><Relationship Id="rId52" Type="http://schemas.openxmlformats.org/officeDocument/2006/relationships/ctrlProp" Target="../ctrlProps/ctrlProp125.xml"/><Relationship Id="rId60" Type="http://schemas.openxmlformats.org/officeDocument/2006/relationships/ctrlProp" Target="../ctrlProps/ctrlProp133.xml"/><Relationship Id="rId65" Type="http://schemas.openxmlformats.org/officeDocument/2006/relationships/ctrlProp" Target="../ctrlProps/ctrlProp138.xml"/><Relationship Id="rId4" Type="http://schemas.openxmlformats.org/officeDocument/2006/relationships/drawing" Target="../drawings/drawing2.xml"/><Relationship Id="rId9" Type="http://schemas.openxmlformats.org/officeDocument/2006/relationships/control" Target="../activeX/activeX7.xml"/><Relationship Id="rId13" Type="http://schemas.openxmlformats.org/officeDocument/2006/relationships/ctrlProp" Target="../ctrlProps/ctrlProp86.xml"/><Relationship Id="rId18" Type="http://schemas.openxmlformats.org/officeDocument/2006/relationships/ctrlProp" Target="../ctrlProps/ctrlProp91.xml"/><Relationship Id="rId39" Type="http://schemas.openxmlformats.org/officeDocument/2006/relationships/ctrlProp" Target="../ctrlProps/ctrlProp112.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155.xml"/><Relationship Id="rId21" Type="http://schemas.openxmlformats.org/officeDocument/2006/relationships/ctrlProp" Target="../ctrlProps/ctrlProp150.xml"/><Relationship Id="rId42" Type="http://schemas.openxmlformats.org/officeDocument/2006/relationships/ctrlProp" Target="../ctrlProps/ctrlProp171.xml"/><Relationship Id="rId47" Type="http://schemas.openxmlformats.org/officeDocument/2006/relationships/ctrlProp" Target="../ctrlProps/ctrlProp176.xml"/><Relationship Id="rId63" Type="http://schemas.openxmlformats.org/officeDocument/2006/relationships/ctrlProp" Target="../ctrlProps/ctrlProp192.xml"/><Relationship Id="rId68" Type="http://schemas.openxmlformats.org/officeDocument/2006/relationships/ctrlProp" Target="../ctrlProps/ctrlProp197.xml"/><Relationship Id="rId2" Type="http://schemas.openxmlformats.org/officeDocument/2006/relationships/customProperty" Target="../customProperty5.bin"/><Relationship Id="rId16" Type="http://schemas.openxmlformats.org/officeDocument/2006/relationships/ctrlProp" Target="../ctrlProps/ctrlProp145.xml"/><Relationship Id="rId29" Type="http://schemas.openxmlformats.org/officeDocument/2006/relationships/ctrlProp" Target="../ctrlProps/ctrlProp158.xml"/><Relationship Id="rId11" Type="http://schemas.openxmlformats.org/officeDocument/2006/relationships/control" Target="../activeX/activeX12.xml"/><Relationship Id="rId24" Type="http://schemas.openxmlformats.org/officeDocument/2006/relationships/ctrlProp" Target="../ctrlProps/ctrlProp153.xml"/><Relationship Id="rId32" Type="http://schemas.openxmlformats.org/officeDocument/2006/relationships/ctrlProp" Target="../ctrlProps/ctrlProp161.xml"/><Relationship Id="rId37" Type="http://schemas.openxmlformats.org/officeDocument/2006/relationships/ctrlProp" Target="../ctrlProps/ctrlProp166.xml"/><Relationship Id="rId40" Type="http://schemas.openxmlformats.org/officeDocument/2006/relationships/ctrlProp" Target="../ctrlProps/ctrlProp169.xml"/><Relationship Id="rId45" Type="http://schemas.openxmlformats.org/officeDocument/2006/relationships/ctrlProp" Target="../ctrlProps/ctrlProp174.xml"/><Relationship Id="rId53" Type="http://schemas.openxmlformats.org/officeDocument/2006/relationships/ctrlProp" Target="../ctrlProps/ctrlProp182.xml"/><Relationship Id="rId58" Type="http://schemas.openxmlformats.org/officeDocument/2006/relationships/ctrlProp" Target="../ctrlProps/ctrlProp187.xml"/><Relationship Id="rId66" Type="http://schemas.openxmlformats.org/officeDocument/2006/relationships/ctrlProp" Target="../ctrlProps/ctrlProp195.xml"/><Relationship Id="rId74" Type="http://schemas.openxmlformats.org/officeDocument/2006/relationships/ctrlProp" Target="../ctrlProps/ctrlProp203.xml"/><Relationship Id="rId5" Type="http://schemas.openxmlformats.org/officeDocument/2006/relationships/vmlDrawing" Target="../drawings/vmlDrawing3.vml"/><Relationship Id="rId61" Type="http://schemas.openxmlformats.org/officeDocument/2006/relationships/ctrlProp" Target="../ctrlProps/ctrlProp190.xml"/><Relationship Id="rId19" Type="http://schemas.openxmlformats.org/officeDocument/2006/relationships/ctrlProp" Target="../ctrlProps/ctrlProp148.xml"/><Relationship Id="rId14" Type="http://schemas.openxmlformats.org/officeDocument/2006/relationships/ctrlProp" Target="../ctrlProps/ctrlProp143.xml"/><Relationship Id="rId22" Type="http://schemas.openxmlformats.org/officeDocument/2006/relationships/ctrlProp" Target="../ctrlProps/ctrlProp151.xml"/><Relationship Id="rId27" Type="http://schemas.openxmlformats.org/officeDocument/2006/relationships/ctrlProp" Target="../ctrlProps/ctrlProp156.xml"/><Relationship Id="rId30" Type="http://schemas.openxmlformats.org/officeDocument/2006/relationships/ctrlProp" Target="../ctrlProps/ctrlProp159.xml"/><Relationship Id="rId35" Type="http://schemas.openxmlformats.org/officeDocument/2006/relationships/ctrlProp" Target="../ctrlProps/ctrlProp164.xml"/><Relationship Id="rId43" Type="http://schemas.openxmlformats.org/officeDocument/2006/relationships/ctrlProp" Target="../ctrlProps/ctrlProp172.xml"/><Relationship Id="rId48" Type="http://schemas.openxmlformats.org/officeDocument/2006/relationships/ctrlProp" Target="../ctrlProps/ctrlProp177.xml"/><Relationship Id="rId56" Type="http://schemas.openxmlformats.org/officeDocument/2006/relationships/ctrlProp" Target="../ctrlProps/ctrlProp185.xml"/><Relationship Id="rId64" Type="http://schemas.openxmlformats.org/officeDocument/2006/relationships/ctrlProp" Target="../ctrlProps/ctrlProp193.xml"/><Relationship Id="rId69" Type="http://schemas.openxmlformats.org/officeDocument/2006/relationships/ctrlProp" Target="../ctrlProps/ctrlProp198.xml"/><Relationship Id="rId8" Type="http://schemas.openxmlformats.org/officeDocument/2006/relationships/control" Target="../activeX/activeX10.xml"/><Relationship Id="rId51" Type="http://schemas.openxmlformats.org/officeDocument/2006/relationships/ctrlProp" Target="../ctrlProps/ctrlProp180.xml"/><Relationship Id="rId72" Type="http://schemas.openxmlformats.org/officeDocument/2006/relationships/ctrlProp" Target="../ctrlProps/ctrlProp201.xml"/><Relationship Id="rId3" Type="http://schemas.openxmlformats.org/officeDocument/2006/relationships/customProperty" Target="../customProperty6.bin"/><Relationship Id="rId12" Type="http://schemas.openxmlformats.org/officeDocument/2006/relationships/ctrlProp" Target="../ctrlProps/ctrlProp141.xml"/><Relationship Id="rId17" Type="http://schemas.openxmlformats.org/officeDocument/2006/relationships/ctrlProp" Target="../ctrlProps/ctrlProp146.xml"/><Relationship Id="rId25" Type="http://schemas.openxmlformats.org/officeDocument/2006/relationships/ctrlProp" Target="../ctrlProps/ctrlProp154.xml"/><Relationship Id="rId33" Type="http://schemas.openxmlformats.org/officeDocument/2006/relationships/ctrlProp" Target="../ctrlProps/ctrlProp162.xml"/><Relationship Id="rId38" Type="http://schemas.openxmlformats.org/officeDocument/2006/relationships/ctrlProp" Target="../ctrlProps/ctrlProp167.xml"/><Relationship Id="rId46" Type="http://schemas.openxmlformats.org/officeDocument/2006/relationships/ctrlProp" Target="../ctrlProps/ctrlProp175.xml"/><Relationship Id="rId59" Type="http://schemas.openxmlformats.org/officeDocument/2006/relationships/ctrlProp" Target="../ctrlProps/ctrlProp188.xml"/><Relationship Id="rId67" Type="http://schemas.openxmlformats.org/officeDocument/2006/relationships/ctrlProp" Target="../ctrlProps/ctrlProp196.xml"/><Relationship Id="rId20" Type="http://schemas.openxmlformats.org/officeDocument/2006/relationships/ctrlProp" Target="../ctrlProps/ctrlProp149.xml"/><Relationship Id="rId41" Type="http://schemas.openxmlformats.org/officeDocument/2006/relationships/ctrlProp" Target="../ctrlProps/ctrlProp170.xml"/><Relationship Id="rId54" Type="http://schemas.openxmlformats.org/officeDocument/2006/relationships/ctrlProp" Target="../ctrlProps/ctrlProp183.xml"/><Relationship Id="rId62" Type="http://schemas.openxmlformats.org/officeDocument/2006/relationships/ctrlProp" Target="../ctrlProps/ctrlProp191.xml"/><Relationship Id="rId70" Type="http://schemas.openxmlformats.org/officeDocument/2006/relationships/ctrlProp" Target="../ctrlProps/ctrlProp199.xml"/><Relationship Id="rId75" Type="http://schemas.openxmlformats.org/officeDocument/2006/relationships/ctrlProp" Target="../ctrlProps/ctrlProp204.xml"/><Relationship Id="rId1" Type="http://schemas.openxmlformats.org/officeDocument/2006/relationships/printerSettings" Target="../printerSettings/printerSettings3.bin"/><Relationship Id="rId6" Type="http://schemas.openxmlformats.org/officeDocument/2006/relationships/control" Target="../activeX/activeX9.xml"/><Relationship Id="rId15" Type="http://schemas.openxmlformats.org/officeDocument/2006/relationships/ctrlProp" Target="../ctrlProps/ctrlProp144.xml"/><Relationship Id="rId23" Type="http://schemas.openxmlformats.org/officeDocument/2006/relationships/ctrlProp" Target="../ctrlProps/ctrlProp152.xml"/><Relationship Id="rId28" Type="http://schemas.openxmlformats.org/officeDocument/2006/relationships/ctrlProp" Target="../ctrlProps/ctrlProp157.xml"/><Relationship Id="rId36" Type="http://schemas.openxmlformats.org/officeDocument/2006/relationships/ctrlProp" Target="../ctrlProps/ctrlProp165.xml"/><Relationship Id="rId49" Type="http://schemas.openxmlformats.org/officeDocument/2006/relationships/ctrlProp" Target="../ctrlProps/ctrlProp178.xml"/><Relationship Id="rId57" Type="http://schemas.openxmlformats.org/officeDocument/2006/relationships/ctrlProp" Target="../ctrlProps/ctrlProp186.xml"/><Relationship Id="rId10" Type="http://schemas.openxmlformats.org/officeDocument/2006/relationships/image" Target="../media/image2.emf"/><Relationship Id="rId31" Type="http://schemas.openxmlformats.org/officeDocument/2006/relationships/ctrlProp" Target="../ctrlProps/ctrlProp160.xml"/><Relationship Id="rId44" Type="http://schemas.openxmlformats.org/officeDocument/2006/relationships/ctrlProp" Target="../ctrlProps/ctrlProp173.xml"/><Relationship Id="rId52" Type="http://schemas.openxmlformats.org/officeDocument/2006/relationships/ctrlProp" Target="../ctrlProps/ctrlProp181.xml"/><Relationship Id="rId60" Type="http://schemas.openxmlformats.org/officeDocument/2006/relationships/ctrlProp" Target="../ctrlProps/ctrlProp189.xml"/><Relationship Id="rId65" Type="http://schemas.openxmlformats.org/officeDocument/2006/relationships/ctrlProp" Target="../ctrlProps/ctrlProp194.xml"/><Relationship Id="rId73" Type="http://schemas.openxmlformats.org/officeDocument/2006/relationships/ctrlProp" Target="../ctrlProps/ctrlProp202.xml"/><Relationship Id="rId4" Type="http://schemas.openxmlformats.org/officeDocument/2006/relationships/drawing" Target="../drawings/drawing3.xml"/><Relationship Id="rId9" Type="http://schemas.openxmlformats.org/officeDocument/2006/relationships/control" Target="../activeX/activeX11.xml"/><Relationship Id="rId13" Type="http://schemas.openxmlformats.org/officeDocument/2006/relationships/ctrlProp" Target="../ctrlProps/ctrlProp142.xml"/><Relationship Id="rId18" Type="http://schemas.openxmlformats.org/officeDocument/2006/relationships/ctrlProp" Target="../ctrlProps/ctrlProp147.xml"/><Relationship Id="rId39" Type="http://schemas.openxmlformats.org/officeDocument/2006/relationships/ctrlProp" Target="../ctrlProps/ctrlProp168.xml"/><Relationship Id="rId34" Type="http://schemas.openxmlformats.org/officeDocument/2006/relationships/ctrlProp" Target="../ctrlProps/ctrlProp163.xml"/><Relationship Id="rId50" Type="http://schemas.openxmlformats.org/officeDocument/2006/relationships/ctrlProp" Target="../ctrlProps/ctrlProp179.xml"/><Relationship Id="rId55" Type="http://schemas.openxmlformats.org/officeDocument/2006/relationships/ctrlProp" Target="../ctrlProps/ctrlProp184.xml"/><Relationship Id="rId76" Type="http://schemas.openxmlformats.org/officeDocument/2006/relationships/comments" Target="../comments3.xml"/><Relationship Id="rId7" Type="http://schemas.openxmlformats.org/officeDocument/2006/relationships/image" Target="../media/image1.emf"/><Relationship Id="rId71" Type="http://schemas.openxmlformats.org/officeDocument/2006/relationships/ctrlProp" Target="../ctrlProps/ctrlProp200.xml"/></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3.xml"/><Relationship Id="rId3" Type="http://schemas.openxmlformats.org/officeDocument/2006/relationships/customProperty" Target="../customProperty8.bin"/><Relationship Id="rId7" Type="http://schemas.openxmlformats.org/officeDocument/2006/relationships/vmlDrawing" Target="../drawings/vmlDrawing4.v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6" Type="http://schemas.openxmlformats.org/officeDocument/2006/relationships/drawing" Target="../drawings/drawing4.xml"/><Relationship Id="rId5" Type="http://schemas.openxmlformats.org/officeDocument/2006/relationships/customProperty" Target="../customProperty10.bin"/><Relationship Id="rId10" Type="http://schemas.openxmlformats.org/officeDocument/2006/relationships/control" Target="../activeX/activeX14.xml"/><Relationship Id="rId4" Type="http://schemas.openxmlformats.org/officeDocument/2006/relationships/customProperty" Target="../customProperty9.bin"/><Relationship Id="rId9" Type="http://schemas.openxmlformats.org/officeDocument/2006/relationships/image" Target="../media/image3.emf"/></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219.xml"/><Relationship Id="rId21" Type="http://schemas.openxmlformats.org/officeDocument/2006/relationships/ctrlProp" Target="../ctrlProps/ctrlProp214.xml"/><Relationship Id="rId42" Type="http://schemas.openxmlformats.org/officeDocument/2006/relationships/ctrlProp" Target="../ctrlProps/ctrlProp235.xml"/><Relationship Id="rId47" Type="http://schemas.openxmlformats.org/officeDocument/2006/relationships/ctrlProp" Target="../ctrlProps/ctrlProp240.xml"/><Relationship Id="rId63" Type="http://schemas.openxmlformats.org/officeDocument/2006/relationships/ctrlProp" Target="../ctrlProps/ctrlProp256.xml"/><Relationship Id="rId68" Type="http://schemas.openxmlformats.org/officeDocument/2006/relationships/ctrlProp" Target="../ctrlProps/ctrlProp261.xml"/><Relationship Id="rId16" Type="http://schemas.openxmlformats.org/officeDocument/2006/relationships/ctrlProp" Target="../ctrlProps/ctrlProp209.xml"/><Relationship Id="rId11" Type="http://schemas.openxmlformats.org/officeDocument/2006/relationships/control" Target="../activeX/activeX18.xml"/><Relationship Id="rId24" Type="http://schemas.openxmlformats.org/officeDocument/2006/relationships/ctrlProp" Target="../ctrlProps/ctrlProp217.xml"/><Relationship Id="rId32" Type="http://schemas.openxmlformats.org/officeDocument/2006/relationships/ctrlProp" Target="../ctrlProps/ctrlProp225.xml"/><Relationship Id="rId37" Type="http://schemas.openxmlformats.org/officeDocument/2006/relationships/ctrlProp" Target="../ctrlProps/ctrlProp230.xml"/><Relationship Id="rId40" Type="http://schemas.openxmlformats.org/officeDocument/2006/relationships/ctrlProp" Target="../ctrlProps/ctrlProp233.xml"/><Relationship Id="rId45" Type="http://schemas.openxmlformats.org/officeDocument/2006/relationships/ctrlProp" Target="../ctrlProps/ctrlProp238.xml"/><Relationship Id="rId53" Type="http://schemas.openxmlformats.org/officeDocument/2006/relationships/ctrlProp" Target="../ctrlProps/ctrlProp246.xml"/><Relationship Id="rId58" Type="http://schemas.openxmlformats.org/officeDocument/2006/relationships/ctrlProp" Target="../ctrlProps/ctrlProp251.xml"/><Relationship Id="rId66" Type="http://schemas.openxmlformats.org/officeDocument/2006/relationships/ctrlProp" Target="../ctrlProps/ctrlProp259.xml"/><Relationship Id="rId74" Type="http://schemas.openxmlformats.org/officeDocument/2006/relationships/ctrlProp" Target="../ctrlProps/ctrlProp267.xml"/><Relationship Id="rId79" Type="http://schemas.openxmlformats.org/officeDocument/2006/relationships/ctrlProp" Target="../ctrlProps/ctrlProp272.xml"/><Relationship Id="rId5" Type="http://schemas.openxmlformats.org/officeDocument/2006/relationships/vmlDrawing" Target="../drawings/vmlDrawing5.vml"/><Relationship Id="rId61" Type="http://schemas.openxmlformats.org/officeDocument/2006/relationships/ctrlProp" Target="../ctrlProps/ctrlProp254.xml"/><Relationship Id="rId19" Type="http://schemas.openxmlformats.org/officeDocument/2006/relationships/ctrlProp" Target="../ctrlProps/ctrlProp212.xml"/><Relationship Id="rId14" Type="http://schemas.openxmlformats.org/officeDocument/2006/relationships/ctrlProp" Target="../ctrlProps/ctrlProp207.xml"/><Relationship Id="rId22" Type="http://schemas.openxmlformats.org/officeDocument/2006/relationships/ctrlProp" Target="../ctrlProps/ctrlProp215.xml"/><Relationship Id="rId27" Type="http://schemas.openxmlformats.org/officeDocument/2006/relationships/ctrlProp" Target="../ctrlProps/ctrlProp220.xml"/><Relationship Id="rId30" Type="http://schemas.openxmlformats.org/officeDocument/2006/relationships/ctrlProp" Target="../ctrlProps/ctrlProp223.xml"/><Relationship Id="rId35" Type="http://schemas.openxmlformats.org/officeDocument/2006/relationships/ctrlProp" Target="../ctrlProps/ctrlProp228.xml"/><Relationship Id="rId43" Type="http://schemas.openxmlformats.org/officeDocument/2006/relationships/ctrlProp" Target="../ctrlProps/ctrlProp236.xml"/><Relationship Id="rId48" Type="http://schemas.openxmlformats.org/officeDocument/2006/relationships/ctrlProp" Target="../ctrlProps/ctrlProp241.xml"/><Relationship Id="rId56" Type="http://schemas.openxmlformats.org/officeDocument/2006/relationships/ctrlProp" Target="../ctrlProps/ctrlProp249.xml"/><Relationship Id="rId64" Type="http://schemas.openxmlformats.org/officeDocument/2006/relationships/ctrlProp" Target="../ctrlProps/ctrlProp257.xml"/><Relationship Id="rId69" Type="http://schemas.openxmlformats.org/officeDocument/2006/relationships/ctrlProp" Target="../ctrlProps/ctrlProp262.xml"/><Relationship Id="rId77" Type="http://schemas.openxmlformats.org/officeDocument/2006/relationships/ctrlProp" Target="../ctrlProps/ctrlProp270.xml"/><Relationship Id="rId8" Type="http://schemas.openxmlformats.org/officeDocument/2006/relationships/control" Target="../activeX/activeX16.xml"/><Relationship Id="rId51" Type="http://schemas.openxmlformats.org/officeDocument/2006/relationships/ctrlProp" Target="../ctrlProps/ctrlProp244.xml"/><Relationship Id="rId72" Type="http://schemas.openxmlformats.org/officeDocument/2006/relationships/ctrlProp" Target="../ctrlProps/ctrlProp265.xml"/><Relationship Id="rId80" Type="http://schemas.openxmlformats.org/officeDocument/2006/relationships/comments" Target="../comments4.xml"/><Relationship Id="rId3" Type="http://schemas.openxmlformats.org/officeDocument/2006/relationships/customProperty" Target="../customProperty12.bin"/><Relationship Id="rId12" Type="http://schemas.openxmlformats.org/officeDocument/2006/relationships/ctrlProp" Target="../ctrlProps/ctrlProp205.xml"/><Relationship Id="rId17" Type="http://schemas.openxmlformats.org/officeDocument/2006/relationships/ctrlProp" Target="../ctrlProps/ctrlProp210.xml"/><Relationship Id="rId25" Type="http://schemas.openxmlformats.org/officeDocument/2006/relationships/ctrlProp" Target="../ctrlProps/ctrlProp218.xml"/><Relationship Id="rId33" Type="http://schemas.openxmlformats.org/officeDocument/2006/relationships/ctrlProp" Target="../ctrlProps/ctrlProp226.xml"/><Relationship Id="rId38" Type="http://schemas.openxmlformats.org/officeDocument/2006/relationships/ctrlProp" Target="../ctrlProps/ctrlProp231.xml"/><Relationship Id="rId46" Type="http://schemas.openxmlformats.org/officeDocument/2006/relationships/ctrlProp" Target="../ctrlProps/ctrlProp239.xml"/><Relationship Id="rId59" Type="http://schemas.openxmlformats.org/officeDocument/2006/relationships/ctrlProp" Target="../ctrlProps/ctrlProp252.xml"/><Relationship Id="rId67" Type="http://schemas.openxmlformats.org/officeDocument/2006/relationships/ctrlProp" Target="../ctrlProps/ctrlProp260.xml"/><Relationship Id="rId20" Type="http://schemas.openxmlformats.org/officeDocument/2006/relationships/ctrlProp" Target="../ctrlProps/ctrlProp213.xml"/><Relationship Id="rId41" Type="http://schemas.openxmlformats.org/officeDocument/2006/relationships/ctrlProp" Target="../ctrlProps/ctrlProp234.xml"/><Relationship Id="rId54" Type="http://schemas.openxmlformats.org/officeDocument/2006/relationships/ctrlProp" Target="../ctrlProps/ctrlProp247.xml"/><Relationship Id="rId62" Type="http://schemas.openxmlformats.org/officeDocument/2006/relationships/ctrlProp" Target="../ctrlProps/ctrlProp255.xml"/><Relationship Id="rId70" Type="http://schemas.openxmlformats.org/officeDocument/2006/relationships/ctrlProp" Target="../ctrlProps/ctrlProp263.xml"/><Relationship Id="rId75" Type="http://schemas.openxmlformats.org/officeDocument/2006/relationships/ctrlProp" Target="../ctrlProps/ctrlProp268.xml"/><Relationship Id="rId1" Type="http://schemas.openxmlformats.org/officeDocument/2006/relationships/printerSettings" Target="../printerSettings/printerSettings5.bin"/><Relationship Id="rId6" Type="http://schemas.openxmlformats.org/officeDocument/2006/relationships/control" Target="../activeX/activeX15.xml"/><Relationship Id="rId15" Type="http://schemas.openxmlformats.org/officeDocument/2006/relationships/ctrlProp" Target="../ctrlProps/ctrlProp208.xml"/><Relationship Id="rId23" Type="http://schemas.openxmlformats.org/officeDocument/2006/relationships/ctrlProp" Target="../ctrlProps/ctrlProp216.xml"/><Relationship Id="rId28" Type="http://schemas.openxmlformats.org/officeDocument/2006/relationships/ctrlProp" Target="../ctrlProps/ctrlProp221.xml"/><Relationship Id="rId36" Type="http://schemas.openxmlformats.org/officeDocument/2006/relationships/ctrlProp" Target="../ctrlProps/ctrlProp229.xml"/><Relationship Id="rId49" Type="http://schemas.openxmlformats.org/officeDocument/2006/relationships/ctrlProp" Target="../ctrlProps/ctrlProp242.xml"/><Relationship Id="rId57" Type="http://schemas.openxmlformats.org/officeDocument/2006/relationships/ctrlProp" Target="../ctrlProps/ctrlProp250.xml"/><Relationship Id="rId10" Type="http://schemas.openxmlformats.org/officeDocument/2006/relationships/image" Target="../media/image1.emf"/><Relationship Id="rId31" Type="http://schemas.openxmlformats.org/officeDocument/2006/relationships/ctrlProp" Target="../ctrlProps/ctrlProp224.xml"/><Relationship Id="rId44" Type="http://schemas.openxmlformats.org/officeDocument/2006/relationships/ctrlProp" Target="../ctrlProps/ctrlProp237.xml"/><Relationship Id="rId52" Type="http://schemas.openxmlformats.org/officeDocument/2006/relationships/ctrlProp" Target="../ctrlProps/ctrlProp245.xml"/><Relationship Id="rId60" Type="http://schemas.openxmlformats.org/officeDocument/2006/relationships/ctrlProp" Target="../ctrlProps/ctrlProp253.xml"/><Relationship Id="rId65" Type="http://schemas.openxmlformats.org/officeDocument/2006/relationships/ctrlProp" Target="../ctrlProps/ctrlProp258.xml"/><Relationship Id="rId73" Type="http://schemas.openxmlformats.org/officeDocument/2006/relationships/ctrlProp" Target="../ctrlProps/ctrlProp266.xml"/><Relationship Id="rId78" Type="http://schemas.openxmlformats.org/officeDocument/2006/relationships/ctrlProp" Target="../ctrlProps/ctrlProp271.xml"/><Relationship Id="rId4" Type="http://schemas.openxmlformats.org/officeDocument/2006/relationships/drawing" Target="../drawings/drawing5.xml"/><Relationship Id="rId9" Type="http://schemas.openxmlformats.org/officeDocument/2006/relationships/control" Target="../activeX/activeX17.xml"/><Relationship Id="rId13" Type="http://schemas.openxmlformats.org/officeDocument/2006/relationships/ctrlProp" Target="../ctrlProps/ctrlProp206.xml"/><Relationship Id="rId18" Type="http://schemas.openxmlformats.org/officeDocument/2006/relationships/ctrlProp" Target="../ctrlProps/ctrlProp211.xml"/><Relationship Id="rId39" Type="http://schemas.openxmlformats.org/officeDocument/2006/relationships/ctrlProp" Target="../ctrlProps/ctrlProp232.xml"/><Relationship Id="rId34" Type="http://schemas.openxmlformats.org/officeDocument/2006/relationships/ctrlProp" Target="../ctrlProps/ctrlProp227.xml"/><Relationship Id="rId50" Type="http://schemas.openxmlformats.org/officeDocument/2006/relationships/ctrlProp" Target="../ctrlProps/ctrlProp243.xml"/><Relationship Id="rId55" Type="http://schemas.openxmlformats.org/officeDocument/2006/relationships/ctrlProp" Target="../ctrlProps/ctrlProp248.xml"/><Relationship Id="rId76" Type="http://schemas.openxmlformats.org/officeDocument/2006/relationships/ctrlProp" Target="../ctrlProps/ctrlProp269.xml"/><Relationship Id="rId7" Type="http://schemas.openxmlformats.org/officeDocument/2006/relationships/image" Target="../media/image2.emf"/><Relationship Id="rId71" Type="http://schemas.openxmlformats.org/officeDocument/2006/relationships/ctrlProp" Target="../ctrlProps/ctrlProp264.xml"/><Relationship Id="rId2" Type="http://schemas.openxmlformats.org/officeDocument/2006/relationships/customProperty" Target="../customProperty11.bin"/><Relationship Id="rId29" Type="http://schemas.openxmlformats.org/officeDocument/2006/relationships/ctrlProp" Target="../ctrlProps/ctrlProp222.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287.xml"/><Relationship Id="rId21" Type="http://schemas.openxmlformats.org/officeDocument/2006/relationships/ctrlProp" Target="../ctrlProps/ctrlProp282.xml"/><Relationship Id="rId42" Type="http://schemas.openxmlformats.org/officeDocument/2006/relationships/ctrlProp" Target="../ctrlProps/ctrlProp303.xml"/><Relationship Id="rId47" Type="http://schemas.openxmlformats.org/officeDocument/2006/relationships/ctrlProp" Target="../ctrlProps/ctrlProp308.xml"/><Relationship Id="rId63" Type="http://schemas.openxmlformats.org/officeDocument/2006/relationships/ctrlProp" Target="../ctrlProps/ctrlProp324.xml"/><Relationship Id="rId68" Type="http://schemas.openxmlformats.org/officeDocument/2006/relationships/ctrlProp" Target="../ctrlProps/ctrlProp329.xml"/><Relationship Id="rId84" Type="http://schemas.openxmlformats.org/officeDocument/2006/relationships/comments" Target="../comments5.xml"/><Relationship Id="rId16" Type="http://schemas.openxmlformats.org/officeDocument/2006/relationships/ctrlProp" Target="../ctrlProps/ctrlProp277.xml"/><Relationship Id="rId11" Type="http://schemas.openxmlformats.org/officeDocument/2006/relationships/control" Target="../activeX/activeX22.xml"/><Relationship Id="rId32" Type="http://schemas.openxmlformats.org/officeDocument/2006/relationships/ctrlProp" Target="../ctrlProps/ctrlProp293.xml"/><Relationship Id="rId37" Type="http://schemas.openxmlformats.org/officeDocument/2006/relationships/ctrlProp" Target="../ctrlProps/ctrlProp298.xml"/><Relationship Id="rId53" Type="http://schemas.openxmlformats.org/officeDocument/2006/relationships/ctrlProp" Target="../ctrlProps/ctrlProp314.xml"/><Relationship Id="rId58" Type="http://schemas.openxmlformats.org/officeDocument/2006/relationships/ctrlProp" Target="../ctrlProps/ctrlProp319.xml"/><Relationship Id="rId74" Type="http://schemas.openxmlformats.org/officeDocument/2006/relationships/ctrlProp" Target="../ctrlProps/ctrlProp335.xml"/><Relationship Id="rId79" Type="http://schemas.openxmlformats.org/officeDocument/2006/relationships/ctrlProp" Target="../ctrlProps/ctrlProp340.xml"/><Relationship Id="rId5" Type="http://schemas.openxmlformats.org/officeDocument/2006/relationships/vmlDrawing" Target="../drawings/vmlDrawing6.vml"/><Relationship Id="rId61" Type="http://schemas.openxmlformats.org/officeDocument/2006/relationships/ctrlProp" Target="../ctrlProps/ctrlProp322.xml"/><Relationship Id="rId82" Type="http://schemas.openxmlformats.org/officeDocument/2006/relationships/ctrlProp" Target="../ctrlProps/ctrlProp343.xml"/><Relationship Id="rId19" Type="http://schemas.openxmlformats.org/officeDocument/2006/relationships/ctrlProp" Target="../ctrlProps/ctrlProp280.xml"/><Relationship Id="rId14" Type="http://schemas.openxmlformats.org/officeDocument/2006/relationships/ctrlProp" Target="../ctrlProps/ctrlProp275.x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35" Type="http://schemas.openxmlformats.org/officeDocument/2006/relationships/ctrlProp" Target="../ctrlProps/ctrlProp296.xml"/><Relationship Id="rId43" Type="http://schemas.openxmlformats.org/officeDocument/2006/relationships/ctrlProp" Target="../ctrlProps/ctrlProp304.xml"/><Relationship Id="rId48" Type="http://schemas.openxmlformats.org/officeDocument/2006/relationships/ctrlProp" Target="../ctrlProps/ctrlProp309.xml"/><Relationship Id="rId56" Type="http://schemas.openxmlformats.org/officeDocument/2006/relationships/ctrlProp" Target="../ctrlProps/ctrlProp317.xml"/><Relationship Id="rId64" Type="http://schemas.openxmlformats.org/officeDocument/2006/relationships/ctrlProp" Target="../ctrlProps/ctrlProp325.xml"/><Relationship Id="rId69" Type="http://schemas.openxmlformats.org/officeDocument/2006/relationships/ctrlProp" Target="../ctrlProps/ctrlProp330.xml"/><Relationship Id="rId77" Type="http://schemas.openxmlformats.org/officeDocument/2006/relationships/ctrlProp" Target="../ctrlProps/ctrlProp338.xml"/><Relationship Id="rId8" Type="http://schemas.openxmlformats.org/officeDocument/2006/relationships/control" Target="../activeX/activeX20.xml"/><Relationship Id="rId51" Type="http://schemas.openxmlformats.org/officeDocument/2006/relationships/ctrlProp" Target="../ctrlProps/ctrlProp312.xml"/><Relationship Id="rId72" Type="http://schemas.openxmlformats.org/officeDocument/2006/relationships/ctrlProp" Target="../ctrlProps/ctrlProp333.xml"/><Relationship Id="rId80" Type="http://schemas.openxmlformats.org/officeDocument/2006/relationships/ctrlProp" Target="../ctrlProps/ctrlProp341.xml"/><Relationship Id="rId3" Type="http://schemas.openxmlformats.org/officeDocument/2006/relationships/customProperty" Target="../customProperty14.bin"/><Relationship Id="rId12" Type="http://schemas.openxmlformats.org/officeDocument/2006/relationships/ctrlProp" Target="../ctrlProps/ctrlProp273.xml"/><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38" Type="http://schemas.openxmlformats.org/officeDocument/2006/relationships/ctrlProp" Target="../ctrlProps/ctrlProp299.xml"/><Relationship Id="rId46" Type="http://schemas.openxmlformats.org/officeDocument/2006/relationships/ctrlProp" Target="../ctrlProps/ctrlProp307.xml"/><Relationship Id="rId59" Type="http://schemas.openxmlformats.org/officeDocument/2006/relationships/ctrlProp" Target="../ctrlProps/ctrlProp320.xml"/><Relationship Id="rId67" Type="http://schemas.openxmlformats.org/officeDocument/2006/relationships/ctrlProp" Target="../ctrlProps/ctrlProp328.xml"/><Relationship Id="rId20" Type="http://schemas.openxmlformats.org/officeDocument/2006/relationships/ctrlProp" Target="../ctrlProps/ctrlProp281.xml"/><Relationship Id="rId41" Type="http://schemas.openxmlformats.org/officeDocument/2006/relationships/ctrlProp" Target="../ctrlProps/ctrlProp302.xml"/><Relationship Id="rId54" Type="http://schemas.openxmlformats.org/officeDocument/2006/relationships/ctrlProp" Target="../ctrlProps/ctrlProp315.xml"/><Relationship Id="rId62" Type="http://schemas.openxmlformats.org/officeDocument/2006/relationships/ctrlProp" Target="../ctrlProps/ctrlProp323.xml"/><Relationship Id="rId70" Type="http://schemas.openxmlformats.org/officeDocument/2006/relationships/ctrlProp" Target="../ctrlProps/ctrlProp331.xml"/><Relationship Id="rId75" Type="http://schemas.openxmlformats.org/officeDocument/2006/relationships/ctrlProp" Target="../ctrlProps/ctrlProp336.xml"/><Relationship Id="rId83" Type="http://schemas.openxmlformats.org/officeDocument/2006/relationships/ctrlProp" Target="../ctrlProps/ctrlProp344.xml"/><Relationship Id="rId1" Type="http://schemas.openxmlformats.org/officeDocument/2006/relationships/printerSettings" Target="../printerSettings/printerSettings6.bin"/><Relationship Id="rId6" Type="http://schemas.openxmlformats.org/officeDocument/2006/relationships/control" Target="../activeX/activeX19.xm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36" Type="http://schemas.openxmlformats.org/officeDocument/2006/relationships/ctrlProp" Target="../ctrlProps/ctrlProp297.xml"/><Relationship Id="rId49" Type="http://schemas.openxmlformats.org/officeDocument/2006/relationships/ctrlProp" Target="../ctrlProps/ctrlProp310.xml"/><Relationship Id="rId57" Type="http://schemas.openxmlformats.org/officeDocument/2006/relationships/ctrlProp" Target="../ctrlProps/ctrlProp318.xml"/><Relationship Id="rId10" Type="http://schemas.openxmlformats.org/officeDocument/2006/relationships/image" Target="../media/image2.emf"/><Relationship Id="rId31" Type="http://schemas.openxmlformats.org/officeDocument/2006/relationships/ctrlProp" Target="../ctrlProps/ctrlProp292.xml"/><Relationship Id="rId44" Type="http://schemas.openxmlformats.org/officeDocument/2006/relationships/ctrlProp" Target="../ctrlProps/ctrlProp305.xml"/><Relationship Id="rId52" Type="http://schemas.openxmlformats.org/officeDocument/2006/relationships/ctrlProp" Target="../ctrlProps/ctrlProp313.xml"/><Relationship Id="rId60" Type="http://schemas.openxmlformats.org/officeDocument/2006/relationships/ctrlProp" Target="../ctrlProps/ctrlProp321.xml"/><Relationship Id="rId65" Type="http://schemas.openxmlformats.org/officeDocument/2006/relationships/ctrlProp" Target="../ctrlProps/ctrlProp326.xml"/><Relationship Id="rId73" Type="http://schemas.openxmlformats.org/officeDocument/2006/relationships/ctrlProp" Target="../ctrlProps/ctrlProp334.xml"/><Relationship Id="rId78" Type="http://schemas.openxmlformats.org/officeDocument/2006/relationships/ctrlProp" Target="../ctrlProps/ctrlProp339.xml"/><Relationship Id="rId81" Type="http://schemas.openxmlformats.org/officeDocument/2006/relationships/ctrlProp" Target="../ctrlProps/ctrlProp342.xml"/><Relationship Id="rId4" Type="http://schemas.openxmlformats.org/officeDocument/2006/relationships/drawing" Target="../drawings/drawing6.xml"/><Relationship Id="rId9" Type="http://schemas.openxmlformats.org/officeDocument/2006/relationships/control" Target="../activeX/activeX21.xml"/><Relationship Id="rId13" Type="http://schemas.openxmlformats.org/officeDocument/2006/relationships/ctrlProp" Target="../ctrlProps/ctrlProp274.xml"/><Relationship Id="rId18" Type="http://schemas.openxmlformats.org/officeDocument/2006/relationships/ctrlProp" Target="../ctrlProps/ctrlProp279.xml"/><Relationship Id="rId39" Type="http://schemas.openxmlformats.org/officeDocument/2006/relationships/ctrlProp" Target="../ctrlProps/ctrlProp300.xml"/><Relationship Id="rId34" Type="http://schemas.openxmlformats.org/officeDocument/2006/relationships/ctrlProp" Target="../ctrlProps/ctrlProp295.xml"/><Relationship Id="rId50" Type="http://schemas.openxmlformats.org/officeDocument/2006/relationships/ctrlProp" Target="../ctrlProps/ctrlProp311.xml"/><Relationship Id="rId55" Type="http://schemas.openxmlformats.org/officeDocument/2006/relationships/ctrlProp" Target="../ctrlProps/ctrlProp316.xml"/><Relationship Id="rId76" Type="http://schemas.openxmlformats.org/officeDocument/2006/relationships/ctrlProp" Target="../ctrlProps/ctrlProp337.xml"/><Relationship Id="rId7" Type="http://schemas.openxmlformats.org/officeDocument/2006/relationships/image" Target="../media/image1.emf"/><Relationship Id="rId71" Type="http://schemas.openxmlformats.org/officeDocument/2006/relationships/ctrlProp" Target="../ctrlProps/ctrlProp332.xml"/><Relationship Id="rId2" Type="http://schemas.openxmlformats.org/officeDocument/2006/relationships/customProperty" Target="../customProperty13.bin"/><Relationship Id="rId29" Type="http://schemas.openxmlformats.org/officeDocument/2006/relationships/ctrlProp" Target="../ctrlProps/ctrlProp290.xml"/><Relationship Id="rId24" Type="http://schemas.openxmlformats.org/officeDocument/2006/relationships/ctrlProp" Target="../ctrlProps/ctrlProp285.xml"/><Relationship Id="rId40" Type="http://schemas.openxmlformats.org/officeDocument/2006/relationships/ctrlProp" Target="../ctrlProps/ctrlProp301.xml"/><Relationship Id="rId45" Type="http://schemas.openxmlformats.org/officeDocument/2006/relationships/ctrlProp" Target="../ctrlProps/ctrlProp306.xml"/><Relationship Id="rId66" Type="http://schemas.openxmlformats.org/officeDocument/2006/relationships/ctrlProp" Target="../ctrlProps/ctrlProp327.xml"/></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control" Target="../activeX/activeX26.xml"/><Relationship Id="rId3" Type="http://schemas.openxmlformats.org/officeDocument/2006/relationships/customProperty" Target="../customProperty16.bin"/><Relationship Id="rId7" Type="http://schemas.openxmlformats.org/officeDocument/2006/relationships/vmlDrawing" Target="../drawings/vmlDrawing7.vml"/><Relationship Id="rId12" Type="http://schemas.openxmlformats.org/officeDocument/2006/relationships/control" Target="../activeX/activeX25.xml"/><Relationship Id="rId17" Type="http://schemas.openxmlformats.org/officeDocument/2006/relationships/image" Target="../media/image6.emf"/><Relationship Id="rId2" Type="http://schemas.openxmlformats.org/officeDocument/2006/relationships/customProperty" Target="../customProperty15.bin"/><Relationship Id="rId16" Type="http://schemas.openxmlformats.org/officeDocument/2006/relationships/control" Target="../activeX/activeX29.xml"/><Relationship Id="rId1" Type="http://schemas.openxmlformats.org/officeDocument/2006/relationships/printerSettings" Target="../printerSettings/printerSettings7.bin"/><Relationship Id="rId6" Type="http://schemas.openxmlformats.org/officeDocument/2006/relationships/drawing" Target="../drawings/drawing7.xml"/><Relationship Id="rId11" Type="http://schemas.openxmlformats.org/officeDocument/2006/relationships/image" Target="../media/image5.emf"/><Relationship Id="rId5" Type="http://schemas.openxmlformats.org/officeDocument/2006/relationships/customProperty" Target="../customProperty18.bin"/><Relationship Id="rId15" Type="http://schemas.openxmlformats.org/officeDocument/2006/relationships/control" Target="../activeX/activeX28.xml"/><Relationship Id="rId10" Type="http://schemas.openxmlformats.org/officeDocument/2006/relationships/control" Target="../activeX/activeX24.xml"/><Relationship Id="rId4" Type="http://schemas.openxmlformats.org/officeDocument/2006/relationships/customProperty" Target="../customProperty17.bin"/><Relationship Id="rId9" Type="http://schemas.openxmlformats.org/officeDocument/2006/relationships/image" Target="../media/image4.emf"/><Relationship Id="rId14" Type="http://schemas.openxmlformats.org/officeDocument/2006/relationships/control" Target="../activeX/activeX27.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0.xml"/><Relationship Id="rId13" Type="http://schemas.openxmlformats.org/officeDocument/2006/relationships/control" Target="../activeX/activeX33.xml"/><Relationship Id="rId3" Type="http://schemas.openxmlformats.org/officeDocument/2006/relationships/customProperty" Target="../customProperty20.bin"/><Relationship Id="rId7" Type="http://schemas.openxmlformats.org/officeDocument/2006/relationships/vmlDrawing" Target="../drawings/vmlDrawing8.vml"/><Relationship Id="rId12" Type="http://schemas.openxmlformats.org/officeDocument/2006/relationships/control" Target="../activeX/activeX32.xml"/><Relationship Id="rId17" Type="http://schemas.openxmlformats.org/officeDocument/2006/relationships/image" Target="../media/image6.emf"/><Relationship Id="rId2" Type="http://schemas.openxmlformats.org/officeDocument/2006/relationships/customProperty" Target="../customProperty19.bin"/><Relationship Id="rId16" Type="http://schemas.openxmlformats.org/officeDocument/2006/relationships/control" Target="../activeX/activeX36.xml"/><Relationship Id="rId1" Type="http://schemas.openxmlformats.org/officeDocument/2006/relationships/printerSettings" Target="../printerSettings/printerSettings8.bin"/><Relationship Id="rId6" Type="http://schemas.openxmlformats.org/officeDocument/2006/relationships/drawing" Target="../drawings/drawing8.xml"/><Relationship Id="rId11" Type="http://schemas.openxmlformats.org/officeDocument/2006/relationships/image" Target="../media/image5.emf"/><Relationship Id="rId5" Type="http://schemas.openxmlformats.org/officeDocument/2006/relationships/customProperty" Target="../customProperty22.bin"/><Relationship Id="rId15" Type="http://schemas.openxmlformats.org/officeDocument/2006/relationships/control" Target="../activeX/activeX35.xml"/><Relationship Id="rId10" Type="http://schemas.openxmlformats.org/officeDocument/2006/relationships/control" Target="../activeX/activeX31.xml"/><Relationship Id="rId4" Type="http://schemas.openxmlformats.org/officeDocument/2006/relationships/customProperty" Target="../customProperty21.bin"/><Relationship Id="rId9" Type="http://schemas.openxmlformats.org/officeDocument/2006/relationships/image" Target="../media/image4.emf"/><Relationship Id="rId14" Type="http://schemas.openxmlformats.org/officeDocument/2006/relationships/control" Target="../activeX/activeX34.xml"/></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37.xml"/><Relationship Id="rId13" Type="http://schemas.openxmlformats.org/officeDocument/2006/relationships/control" Target="../activeX/activeX41.xml"/><Relationship Id="rId3" Type="http://schemas.openxmlformats.org/officeDocument/2006/relationships/customProperty" Target="../customProperty24.bin"/><Relationship Id="rId7" Type="http://schemas.openxmlformats.org/officeDocument/2006/relationships/vmlDrawing" Target="../drawings/vmlDrawing9.vml"/><Relationship Id="rId12" Type="http://schemas.openxmlformats.org/officeDocument/2006/relationships/control" Target="../activeX/activeX40.xml"/><Relationship Id="rId2" Type="http://schemas.openxmlformats.org/officeDocument/2006/relationships/customProperty" Target="../customProperty23.bin"/><Relationship Id="rId16" Type="http://schemas.openxmlformats.org/officeDocument/2006/relationships/image" Target="../media/image8.emf"/><Relationship Id="rId1" Type="http://schemas.openxmlformats.org/officeDocument/2006/relationships/printerSettings" Target="../printerSettings/printerSettings9.bin"/><Relationship Id="rId6" Type="http://schemas.openxmlformats.org/officeDocument/2006/relationships/drawing" Target="../drawings/drawing9.xml"/><Relationship Id="rId11" Type="http://schemas.openxmlformats.org/officeDocument/2006/relationships/control" Target="../activeX/activeX39.xml"/><Relationship Id="rId5" Type="http://schemas.openxmlformats.org/officeDocument/2006/relationships/customProperty" Target="../customProperty26.bin"/><Relationship Id="rId15" Type="http://schemas.openxmlformats.org/officeDocument/2006/relationships/control" Target="../activeX/activeX43.xml"/><Relationship Id="rId10" Type="http://schemas.openxmlformats.org/officeDocument/2006/relationships/control" Target="../activeX/activeX38.xml"/><Relationship Id="rId4" Type="http://schemas.openxmlformats.org/officeDocument/2006/relationships/customProperty" Target="../customProperty25.bin"/><Relationship Id="rId9" Type="http://schemas.openxmlformats.org/officeDocument/2006/relationships/image" Target="../media/image7.emf"/><Relationship Id="rId14" Type="http://schemas.openxmlformats.org/officeDocument/2006/relationships/control" Target="../activeX/activeX42.xml"/></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control" Target="../activeX/activeX48.xml"/><Relationship Id="rId18" Type="http://schemas.openxmlformats.org/officeDocument/2006/relationships/control" Target="../activeX/activeX52.xml"/><Relationship Id="rId3" Type="http://schemas.openxmlformats.org/officeDocument/2006/relationships/customProperty" Target="../customProperty28.bin"/><Relationship Id="rId21" Type="http://schemas.openxmlformats.org/officeDocument/2006/relationships/control" Target="../activeX/activeX55.xml"/><Relationship Id="rId7" Type="http://schemas.openxmlformats.org/officeDocument/2006/relationships/vmlDrawing" Target="../drawings/vmlDrawing10.vml"/><Relationship Id="rId12" Type="http://schemas.openxmlformats.org/officeDocument/2006/relationships/control" Target="../activeX/activeX47.xml"/><Relationship Id="rId17" Type="http://schemas.openxmlformats.org/officeDocument/2006/relationships/control" Target="../activeX/activeX51.xml"/><Relationship Id="rId2" Type="http://schemas.openxmlformats.org/officeDocument/2006/relationships/customProperty" Target="../customProperty27.bin"/><Relationship Id="rId16" Type="http://schemas.openxmlformats.org/officeDocument/2006/relationships/control" Target="../activeX/activeX50.xml"/><Relationship Id="rId20" Type="http://schemas.openxmlformats.org/officeDocument/2006/relationships/control" Target="../activeX/activeX54.xml"/><Relationship Id="rId1" Type="http://schemas.openxmlformats.org/officeDocument/2006/relationships/printerSettings" Target="../printerSettings/printerSettings10.bin"/><Relationship Id="rId6" Type="http://schemas.openxmlformats.org/officeDocument/2006/relationships/drawing" Target="../drawings/drawing10.xml"/><Relationship Id="rId11" Type="http://schemas.openxmlformats.org/officeDocument/2006/relationships/control" Target="../activeX/activeX46.xml"/><Relationship Id="rId5" Type="http://schemas.openxmlformats.org/officeDocument/2006/relationships/customProperty" Target="../customProperty30.bin"/><Relationship Id="rId15" Type="http://schemas.openxmlformats.org/officeDocument/2006/relationships/control" Target="../activeX/activeX49.xml"/><Relationship Id="rId23" Type="http://schemas.openxmlformats.org/officeDocument/2006/relationships/image" Target="../media/image3.emf"/><Relationship Id="rId10" Type="http://schemas.openxmlformats.org/officeDocument/2006/relationships/control" Target="../activeX/activeX45.xml"/><Relationship Id="rId19" Type="http://schemas.openxmlformats.org/officeDocument/2006/relationships/control" Target="../activeX/activeX53.xml"/><Relationship Id="rId4" Type="http://schemas.openxmlformats.org/officeDocument/2006/relationships/customProperty" Target="../customProperty29.bin"/><Relationship Id="rId9" Type="http://schemas.openxmlformats.org/officeDocument/2006/relationships/image" Target="../media/image9.emf"/><Relationship Id="rId14" Type="http://schemas.openxmlformats.org/officeDocument/2006/relationships/image" Target="../media/image6.emf"/><Relationship Id="rId22" Type="http://schemas.openxmlformats.org/officeDocument/2006/relationships/control" Target="../activeX/activeX5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90538-D646-436C-8779-DDEA0EE930DE}">
  <sheetPr codeName="Sheet8"/>
  <dimension ref="A1:AB163"/>
  <sheetViews>
    <sheetView showGridLines="0" topLeftCell="A43" zoomScale="85" zoomScaleNormal="85" workbookViewId="0">
      <selection activeCell="L86" sqref="L86"/>
    </sheetView>
  </sheetViews>
  <sheetFormatPr defaultColWidth="9.1796875" defaultRowHeight="14" x14ac:dyDescent="0.3"/>
  <cols>
    <col min="1" max="1" width="1.7265625" style="4" customWidth="1"/>
    <col min="2" max="2" width="12.7265625" style="4" customWidth="1"/>
    <col min="3" max="3" width="15.7265625" style="4" customWidth="1"/>
    <col min="4" max="4" width="64.7265625" style="4" customWidth="1"/>
    <col min="5" max="5" width="3.26953125" style="4" customWidth="1"/>
    <col min="6" max="6" width="14.26953125" style="4" customWidth="1"/>
    <col min="7" max="7" width="3.26953125" style="4" customWidth="1"/>
    <col min="8" max="8" width="30.7265625" style="4" customWidth="1"/>
    <col min="9" max="9" width="3.26953125" style="4" customWidth="1"/>
    <col min="10" max="10" width="14.26953125" style="4" customWidth="1"/>
    <col min="11" max="11" width="3.26953125" style="4" customWidth="1"/>
    <col min="12" max="12" width="36.7265625" style="4" customWidth="1"/>
    <col min="13" max="16" width="10.7265625" style="4" customWidth="1"/>
    <col min="17" max="17" width="90.7265625" style="4" customWidth="1"/>
    <col min="18" max="27" width="9.1796875" style="4"/>
    <col min="28" max="28" width="21.1796875" style="4" bestFit="1" customWidth="1"/>
    <col min="29" max="16384" width="9.1796875" style="4"/>
  </cols>
  <sheetData>
    <row r="1" spans="1:28" ht="42" customHeight="1" x14ac:dyDescent="0.3">
      <c r="A1" s="5"/>
      <c r="B1" s="138" t="s">
        <v>0</v>
      </c>
      <c r="C1" s="138"/>
      <c r="D1" s="138"/>
      <c r="E1" s="138"/>
      <c r="F1" s="138"/>
      <c r="G1" s="138"/>
      <c r="H1" s="138"/>
      <c r="I1" s="138"/>
      <c r="J1" s="138"/>
      <c r="K1" s="138"/>
      <c r="L1" s="138"/>
      <c r="AA1" s="3">
        <v>1</v>
      </c>
      <c r="AB1" s="3" t="b">
        <v>0</v>
      </c>
    </row>
    <row r="2" spans="1:28" ht="15.75" customHeight="1" x14ac:dyDescent="0.35">
      <c r="A2" s="41" t="s">
        <v>32</v>
      </c>
      <c r="B2" s="5"/>
      <c r="C2" s="5"/>
      <c r="D2" s="5"/>
      <c r="E2" s="5"/>
      <c r="F2"/>
      <c r="G2" s="5"/>
      <c r="H2" s="5"/>
      <c r="I2" s="5"/>
      <c r="J2" s="5"/>
      <c r="K2" s="5"/>
      <c r="L2" s="5"/>
    </row>
    <row r="3" spans="1:28" ht="15.75" customHeight="1" x14ac:dyDescent="0.3">
      <c r="A3" s="5"/>
      <c r="B3" s="6" t="s">
        <v>1</v>
      </c>
      <c r="C3" s="5"/>
      <c r="D3" s="5"/>
      <c r="E3" s="5"/>
      <c r="F3" s="5"/>
      <c r="G3" s="5"/>
      <c r="H3" s="5"/>
      <c r="I3" s="5"/>
      <c r="J3" s="5"/>
      <c r="K3" s="5"/>
      <c r="L3" s="5"/>
    </row>
    <row r="4" spans="1:28" ht="18" customHeight="1" thickBot="1" x14ac:dyDescent="0.35">
      <c r="A4" s="5"/>
      <c r="B4" s="5"/>
      <c r="C4" s="5"/>
      <c r="D4" s="5"/>
      <c r="E4" s="5"/>
      <c r="F4" s="5"/>
      <c r="G4" s="5"/>
      <c r="H4" s="5"/>
      <c r="I4" s="5"/>
      <c r="J4" s="5"/>
      <c r="K4" s="5"/>
      <c r="L4" s="5"/>
    </row>
    <row r="5" spans="1:28" ht="28.4" customHeight="1" x14ac:dyDescent="0.3">
      <c r="A5" s="5"/>
      <c r="B5" s="139" t="s">
        <v>2</v>
      </c>
      <c r="C5" s="140"/>
      <c r="D5" s="140"/>
      <c r="E5" s="140"/>
      <c r="F5" s="140"/>
      <c r="G5" s="140"/>
      <c r="H5" s="140"/>
      <c r="I5" s="140"/>
      <c r="J5" s="140"/>
      <c r="K5" s="140"/>
      <c r="L5" s="141"/>
      <c r="Q5" s="35" t="s">
        <v>25</v>
      </c>
    </row>
    <row r="6" spans="1:28" ht="28.4" customHeight="1" x14ac:dyDescent="0.3">
      <c r="A6" s="5"/>
      <c r="B6" s="142"/>
      <c r="C6" s="143"/>
      <c r="D6" s="143"/>
      <c r="E6" s="143"/>
      <c r="F6" s="143"/>
      <c r="G6" s="143"/>
      <c r="H6" s="143"/>
      <c r="I6" s="143"/>
      <c r="J6" s="143"/>
      <c r="K6" s="143"/>
      <c r="L6" s="144"/>
      <c r="Q6" s="36" t="s">
        <v>26</v>
      </c>
    </row>
    <row r="7" spans="1:28" ht="21.75" customHeight="1" x14ac:dyDescent="0.3">
      <c r="A7" s="5"/>
      <c r="B7" s="124" t="s">
        <v>6</v>
      </c>
      <c r="C7" s="5"/>
      <c r="D7" s="5"/>
      <c r="E7" s="5"/>
      <c r="F7" s="5"/>
      <c r="G7" s="5"/>
      <c r="H7" s="5"/>
      <c r="I7" s="5"/>
      <c r="J7" s="5"/>
      <c r="K7" s="5"/>
      <c r="L7" s="16"/>
      <c r="Q7" s="111" t="s">
        <v>28</v>
      </c>
    </row>
    <row r="8" spans="1:28" ht="18" customHeight="1" x14ac:dyDescent="0.3">
      <c r="A8" s="5"/>
      <c r="B8" s="125"/>
      <c r="C8" s="5"/>
      <c r="D8" s="5"/>
      <c r="E8" s="5"/>
      <c r="F8" s="5"/>
      <c r="G8" s="5"/>
      <c r="H8" s="5"/>
      <c r="I8" s="5"/>
      <c r="J8" s="5"/>
      <c r="K8" s="5"/>
      <c r="L8" s="16"/>
      <c r="Q8" s="111"/>
    </row>
    <row r="9" spans="1:28" ht="17.149999999999999" customHeight="1" x14ac:dyDescent="0.3">
      <c r="A9" s="5"/>
      <c r="B9" s="125"/>
      <c r="C9" s="8"/>
      <c r="D9" s="9"/>
      <c r="E9" s="115" t="s">
        <v>3</v>
      </c>
      <c r="F9" s="116"/>
      <c r="G9" s="117"/>
      <c r="H9" s="7" t="s">
        <v>4</v>
      </c>
      <c r="I9" s="115" t="s">
        <v>5</v>
      </c>
      <c r="J9" s="116"/>
      <c r="K9" s="117"/>
      <c r="L9" s="17" t="s">
        <v>4</v>
      </c>
      <c r="Q9" s="111"/>
    </row>
    <row r="10" spans="1:28" ht="5.15" customHeight="1" x14ac:dyDescent="0.3">
      <c r="A10" s="5"/>
      <c r="B10" s="125"/>
      <c r="C10" s="112"/>
      <c r="D10" s="5"/>
      <c r="E10" s="18"/>
      <c r="F10" s="18"/>
      <c r="G10" s="18"/>
      <c r="H10" s="12"/>
      <c r="I10" s="18"/>
      <c r="J10" s="18"/>
      <c r="K10" s="18"/>
      <c r="L10" s="16"/>
      <c r="Q10" s="111"/>
    </row>
    <row r="11" spans="1:28" ht="15.75" customHeight="1" x14ac:dyDescent="0.3">
      <c r="A11" s="5"/>
      <c r="B11" s="125"/>
      <c r="C11" s="113"/>
      <c r="D11" s="19" t="s">
        <v>7</v>
      </c>
      <c r="E11" s="18"/>
      <c r="F11" s="42">
        <v>10000</v>
      </c>
      <c r="G11" s="18"/>
      <c r="H11" s="13" t="s">
        <v>8</v>
      </c>
      <c r="I11" s="18"/>
      <c r="J11" s="43" t="s">
        <v>9</v>
      </c>
      <c r="K11" s="18"/>
      <c r="L11" s="22" t="s">
        <v>8</v>
      </c>
      <c r="Q11" s="111"/>
    </row>
    <row r="12" spans="1:28" ht="5.15" customHeight="1" x14ac:dyDescent="0.3">
      <c r="A12" s="5"/>
      <c r="B12" s="125"/>
      <c r="C12" s="114"/>
      <c r="D12" s="10"/>
      <c r="E12" s="11"/>
      <c r="F12" s="11"/>
      <c r="G12" s="11"/>
      <c r="H12" s="9"/>
      <c r="I12" s="11"/>
      <c r="J12" s="11"/>
      <c r="K12" s="11"/>
      <c r="L12" s="23"/>
      <c r="Q12" s="111"/>
    </row>
    <row r="13" spans="1:28" ht="5.15" customHeight="1" x14ac:dyDescent="0.3">
      <c r="A13" s="5"/>
      <c r="B13" s="125"/>
      <c r="C13" s="113"/>
      <c r="D13" s="5"/>
      <c r="E13" s="18"/>
      <c r="F13" s="18"/>
      <c r="G13" s="18"/>
      <c r="H13" s="14"/>
      <c r="I13" s="18"/>
      <c r="J13" s="18"/>
      <c r="K13" s="18"/>
      <c r="L13" s="16"/>
      <c r="Q13" s="111"/>
    </row>
    <row r="14" spans="1:28" ht="15.75" customHeight="1" x14ac:dyDescent="0.3">
      <c r="A14" s="5"/>
      <c r="B14" s="125"/>
      <c r="C14" s="113"/>
      <c r="D14" s="19" t="s">
        <v>10</v>
      </c>
      <c r="E14" s="18"/>
      <c r="F14" s="20">
        <v>10000</v>
      </c>
      <c r="G14" s="18"/>
      <c r="H14" s="13" t="s">
        <v>8</v>
      </c>
      <c r="I14" s="18"/>
      <c r="J14" s="21" t="s">
        <v>9</v>
      </c>
      <c r="K14" s="18"/>
      <c r="L14" s="22" t="s">
        <v>8</v>
      </c>
      <c r="Q14" s="111"/>
    </row>
    <row r="15" spans="1:28" ht="5.15" customHeight="1" x14ac:dyDescent="0.3">
      <c r="A15" s="5"/>
      <c r="B15" s="125"/>
      <c r="C15" s="114"/>
      <c r="D15" s="10"/>
      <c r="E15" s="11"/>
      <c r="F15" s="11"/>
      <c r="G15" s="11"/>
      <c r="H15" s="9"/>
      <c r="I15" s="11"/>
      <c r="J15" s="11"/>
      <c r="K15" s="11"/>
      <c r="L15" s="23"/>
      <c r="Q15" s="111"/>
    </row>
    <row r="16" spans="1:28" ht="11.15" customHeight="1" x14ac:dyDescent="0.3">
      <c r="A16" s="5"/>
      <c r="B16" s="125"/>
      <c r="C16" s="113"/>
      <c r="D16" s="137" t="s">
        <v>11</v>
      </c>
      <c r="E16" s="18"/>
      <c r="F16" s="18"/>
      <c r="G16" s="18"/>
      <c r="H16" s="14"/>
      <c r="I16" s="18"/>
      <c r="J16" s="18"/>
      <c r="K16" s="18"/>
      <c r="L16" s="16"/>
      <c r="Q16" s="111"/>
    </row>
    <row r="17" spans="1:17" ht="11.15" customHeight="1" x14ac:dyDescent="0.3">
      <c r="A17" s="5"/>
      <c r="B17" s="125"/>
      <c r="C17" s="113"/>
      <c r="D17" s="137"/>
      <c r="E17" s="18"/>
      <c r="F17" s="18"/>
      <c r="G17" s="18"/>
      <c r="H17" s="14"/>
      <c r="I17" s="18"/>
      <c r="J17" s="18"/>
      <c r="K17" s="18"/>
      <c r="L17" s="16"/>
      <c r="Q17" s="111"/>
    </row>
    <row r="18" spans="1:17" ht="15.75" customHeight="1" x14ac:dyDescent="0.3">
      <c r="A18" s="5"/>
      <c r="B18" s="125"/>
      <c r="C18" s="15"/>
      <c r="D18" s="24" t="str">
        <f>IF(AA1=2, "Level 1", IF(AB1=TRUE, IF(A26-1=0, "Lowest Level","Lowest Level -"&amp;(A26-1)), "Level 1"))</f>
        <v>Level 1</v>
      </c>
      <c r="E18" s="18"/>
      <c r="F18" s="20">
        <v>10000</v>
      </c>
      <c r="G18" s="18"/>
      <c r="H18" s="13" t="s">
        <v>8</v>
      </c>
      <c r="I18" s="18"/>
      <c r="J18" s="21" t="s">
        <v>9</v>
      </c>
      <c r="K18" s="18"/>
      <c r="L18" s="22" t="s">
        <v>8</v>
      </c>
      <c r="Q18" s="111"/>
    </row>
    <row r="19" spans="1:17" ht="5.15" customHeight="1" x14ac:dyDescent="0.3">
      <c r="A19" s="5"/>
      <c r="B19" s="125"/>
      <c r="C19" s="15"/>
      <c r="D19" s="10"/>
      <c r="E19" s="11"/>
      <c r="F19" s="11"/>
      <c r="G19" s="11"/>
      <c r="H19" s="9"/>
      <c r="I19" s="11"/>
      <c r="J19" s="11"/>
      <c r="K19" s="11"/>
      <c r="L19" s="23"/>
      <c r="Q19" s="111"/>
    </row>
    <row r="20" spans="1:17" ht="5.15" customHeight="1" x14ac:dyDescent="0.35">
      <c r="A20" s="5"/>
      <c r="B20" s="125"/>
      <c r="C20" s="15"/>
      <c r="D20" s="5"/>
      <c r="E20" s="18"/>
      <c r="F20" s="18"/>
      <c r="G20" s="18"/>
      <c r="H20" s="14"/>
      <c r="I20" s="18"/>
      <c r="J20" s="18"/>
      <c r="K20" s="18"/>
      <c r="L20" s="16"/>
      <c r="Q20" s="37"/>
    </row>
    <row r="21" spans="1:17" ht="15.75" customHeight="1" x14ac:dyDescent="0.3">
      <c r="A21" s="5"/>
      <c r="B21" s="125"/>
      <c r="C21" s="15"/>
      <c r="D21" s="25" t="str">
        <f>IF(AA1=2, "Level 2", IF(AB1=TRUE, IF(A26-2=0, "Lowest Level","Lowest Level -"&amp;(A26-2)), "Level 2"))</f>
        <v>Level 2</v>
      </c>
      <c r="E21" s="18"/>
      <c r="F21" s="20">
        <v>10000</v>
      </c>
      <c r="G21" s="18"/>
      <c r="H21" s="13" t="s">
        <v>8</v>
      </c>
      <c r="I21" s="18"/>
      <c r="J21" s="21" t="s">
        <v>9</v>
      </c>
      <c r="K21" s="18"/>
      <c r="L21" s="22" t="s">
        <v>8</v>
      </c>
      <c r="Q21" s="38" t="s">
        <v>29</v>
      </c>
    </row>
    <row r="22" spans="1:17" ht="5.15" customHeight="1" x14ac:dyDescent="0.3">
      <c r="A22" s="5"/>
      <c r="B22" s="125"/>
      <c r="C22" s="15"/>
      <c r="D22" s="10"/>
      <c r="E22" s="11"/>
      <c r="F22" s="11"/>
      <c r="G22" s="11"/>
      <c r="H22" s="9"/>
      <c r="I22" s="11"/>
      <c r="J22" s="11"/>
      <c r="K22" s="11"/>
      <c r="L22" s="23"/>
      <c r="Q22" s="111" t="s">
        <v>30</v>
      </c>
    </row>
    <row r="23" spans="1:17" ht="5.15" customHeight="1" x14ac:dyDescent="0.3">
      <c r="A23" s="5"/>
      <c r="B23" s="125"/>
      <c r="C23" s="15"/>
      <c r="D23" s="5"/>
      <c r="E23" s="18"/>
      <c r="F23" s="18"/>
      <c r="G23" s="18"/>
      <c r="H23" s="14"/>
      <c r="I23" s="18"/>
      <c r="J23" s="18"/>
      <c r="K23" s="18"/>
      <c r="L23" s="16"/>
      <c r="Q23" s="111"/>
    </row>
    <row r="24" spans="1:17" ht="15.75" customHeight="1" x14ac:dyDescent="0.3">
      <c r="A24" s="5"/>
      <c r="B24" s="125"/>
      <c r="C24" s="15"/>
      <c r="D24" s="26" t="str">
        <f>IF(AA1=2, "Level 3", IF(AB1=TRUE, IF(A26-3=0, "Lowest Level","Lowest Level -"&amp;(A26-3)), "Level 3"))</f>
        <v>Level 3</v>
      </c>
      <c r="E24" s="18"/>
      <c r="F24" s="20">
        <v>10000</v>
      </c>
      <c r="G24" s="18"/>
      <c r="H24" s="13" t="s">
        <v>8</v>
      </c>
      <c r="I24" s="18"/>
      <c r="J24" s="21" t="s">
        <v>9</v>
      </c>
      <c r="K24" s="18"/>
      <c r="L24" s="22" t="s">
        <v>8</v>
      </c>
      <c r="Q24" s="111"/>
    </row>
    <row r="25" spans="1:17" ht="5.15" customHeight="1" x14ac:dyDescent="0.3">
      <c r="A25" s="5"/>
      <c r="B25" s="125"/>
      <c r="C25" s="15"/>
      <c r="D25" s="10"/>
      <c r="E25" s="11"/>
      <c r="F25" s="11"/>
      <c r="G25" s="11"/>
      <c r="H25" s="9"/>
      <c r="I25" s="11"/>
      <c r="J25" s="11"/>
      <c r="K25" s="11"/>
      <c r="L25" s="23"/>
      <c r="Q25" s="111"/>
    </row>
    <row r="26" spans="1:17" ht="22" customHeight="1" x14ac:dyDescent="0.3">
      <c r="A26" s="5">
        <v>3</v>
      </c>
      <c r="B26" s="125"/>
      <c r="C26" s="15"/>
      <c r="D26" s="5"/>
      <c r="E26" s="5"/>
      <c r="F26" s="5"/>
      <c r="G26" s="5"/>
      <c r="H26" s="5"/>
      <c r="I26" s="5"/>
      <c r="J26" s="5"/>
      <c r="K26" s="5"/>
      <c r="L26" s="16"/>
      <c r="Q26" s="111"/>
    </row>
    <row r="27" spans="1:17" ht="5.15" customHeight="1" thickBot="1" x14ac:dyDescent="0.35">
      <c r="A27" s="5"/>
      <c r="B27" s="132"/>
      <c r="C27" s="27"/>
      <c r="D27" s="28"/>
      <c r="E27" s="28"/>
      <c r="F27" s="28"/>
      <c r="G27" s="28"/>
      <c r="H27" s="28"/>
      <c r="I27" s="28"/>
      <c r="J27" s="28"/>
      <c r="K27" s="28"/>
      <c r="L27" s="29"/>
      <c r="Q27" s="111"/>
    </row>
    <row r="28" spans="1:17" ht="21.75" customHeight="1" x14ac:dyDescent="0.3">
      <c r="A28" s="5"/>
      <c r="B28" s="136" t="s">
        <v>12</v>
      </c>
      <c r="C28" s="30"/>
      <c r="D28" s="30"/>
      <c r="E28" s="30"/>
      <c r="F28" s="30"/>
      <c r="G28" s="30"/>
      <c r="H28" s="30"/>
      <c r="I28" s="30"/>
      <c r="J28" s="30"/>
      <c r="K28" s="30"/>
      <c r="L28" s="31"/>
      <c r="Q28" s="111"/>
    </row>
    <row r="29" spans="1:17" ht="18" customHeight="1" x14ac:dyDescent="0.3">
      <c r="A29" s="5"/>
      <c r="B29" s="125"/>
      <c r="C29" s="5"/>
      <c r="D29" s="5"/>
      <c r="E29" s="5"/>
      <c r="F29" s="5"/>
      <c r="G29" s="5"/>
      <c r="H29" s="5"/>
      <c r="I29" s="5"/>
      <c r="J29" s="5"/>
      <c r="K29" s="5"/>
      <c r="L29" s="16"/>
      <c r="Q29" s="111"/>
    </row>
    <row r="30" spans="1:17" ht="17.149999999999999" customHeight="1" x14ac:dyDescent="0.35">
      <c r="A30" s="5"/>
      <c r="B30" s="125"/>
      <c r="C30" s="8"/>
      <c r="D30" s="9"/>
      <c r="E30" s="115" t="s">
        <v>3</v>
      </c>
      <c r="F30" s="116"/>
      <c r="G30" s="117"/>
      <c r="H30" s="7" t="s">
        <v>4</v>
      </c>
      <c r="I30" s="115" t="s">
        <v>5</v>
      </c>
      <c r="J30" s="116"/>
      <c r="K30" s="117"/>
      <c r="L30" s="17" t="s">
        <v>4</v>
      </c>
      <c r="Q30" s="37"/>
    </row>
    <row r="31" spans="1:17" ht="5.15" customHeight="1" x14ac:dyDescent="0.35">
      <c r="A31" s="5"/>
      <c r="B31" s="125"/>
      <c r="C31" s="112"/>
      <c r="D31" s="5"/>
      <c r="E31" s="18"/>
      <c r="F31" s="18"/>
      <c r="G31" s="18"/>
      <c r="H31" s="12"/>
      <c r="I31" s="18"/>
      <c r="J31" s="18"/>
      <c r="K31" s="18"/>
      <c r="L31" s="16"/>
      <c r="Q31" s="37"/>
    </row>
    <row r="32" spans="1:17" ht="15.75" customHeight="1" x14ac:dyDescent="0.3">
      <c r="A32" s="5"/>
      <c r="B32" s="125"/>
      <c r="C32" s="113"/>
      <c r="D32" s="19" t="s">
        <v>7</v>
      </c>
      <c r="E32" s="18"/>
      <c r="F32" s="42">
        <v>10000</v>
      </c>
      <c r="G32" s="18"/>
      <c r="H32" s="13" t="s">
        <v>8</v>
      </c>
      <c r="I32" s="18"/>
      <c r="J32" s="44" t="s">
        <v>9</v>
      </c>
      <c r="K32" s="18"/>
      <c r="L32" s="22" t="s">
        <v>8</v>
      </c>
      <c r="Q32" s="39" t="s">
        <v>27</v>
      </c>
    </row>
    <row r="33" spans="1:17" ht="5.15" customHeight="1" x14ac:dyDescent="0.3">
      <c r="A33" s="5"/>
      <c r="B33" s="125"/>
      <c r="C33" s="114"/>
      <c r="D33" s="10"/>
      <c r="E33" s="11"/>
      <c r="F33" s="11"/>
      <c r="G33" s="11"/>
      <c r="H33" s="9"/>
      <c r="I33" s="11"/>
      <c r="J33" s="11"/>
      <c r="K33" s="11"/>
      <c r="L33" s="23"/>
      <c r="Q33" s="111" t="s">
        <v>31</v>
      </c>
    </row>
    <row r="34" spans="1:17" ht="5.15" customHeight="1" x14ac:dyDescent="0.3">
      <c r="A34" s="5"/>
      <c r="B34" s="125"/>
      <c r="C34" s="113"/>
      <c r="D34" s="5"/>
      <c r="E34" s="18"/>
      <c r="F34" s="18"/>
      <c r="G34" s="18"/>
      <c r="H34" s="14"/>
      <c r="I34" s="18"/>
      <c r="J34" s="18"/>
      <c r="K34" s="18"/>
      <c r="L34" s="16"/>
      <c r="Q34" s="111"/>
    </row>
    <row r="35" spans="1:17" ht="15.75" customHeight="1" x14ac:dyDescent="0.3">
      <c r="A35" s="5"/>
      <c r="B35" s="125"/>
      <c r="C35" s="113"/>
      <c r="D35" s="19" t="s">
        <v>10</v>
      </c>
      <c r="E35" s="18"/>
      <c r="F35" s="20">
        <v>10000</v>
      </c>
      <c r="G35" s="18"/>
      <c r="H35" s="13" t="s">
        <v>8</v>
      </c>
      <c r="I35" s="18"/>
      <c r="J35" s="21" t="s">
        <v>9</v>
      </c>
      <c r="K35" s="18"/>
      <c r="L35" s="22" t="s">
        <v>8</v>
      </c>
      <c r="Q35" s="111"/>
    </row>
    <row r="36" spans="1:17" ht="5.15" customHeight="1" x14ac:dyDescent="0.3">
      <c r="A36" s="5"/>
      <c r="B36" s="125"/>
      <c r="C36" s="114"/>
      <c r="D36" s="10"/>
      <c r="E36" s="11"/>
      <c r="F36" s="11"/>
      <c r="G36" s="11"/>
      <c r="H36" s="9"/>
      <c r="I36" s="11"/>
      <c r="J36" s="11"/>
      <c r="K36" s="11"/>
      <c r="L36" s="23"/>
      <c r="Q36" s="111"/>
    </row>
    <row r="37" spans="1:17" ht="11.15" customHeight="1" x14ac:dyDescent="0.3">
      <c r="A37" s="5"/>
      <c r="B37" s="125"/>
      <c r="C37" s="113"/>
      <c r="D37" s="137" t="s">
        <v>11</v>
      </c>
      <c r="E37" s="18"/>
      <c r="F37" s="18"/>
      <c r="G37" s="18"/>
      <c r="H37" s="14"/>
      <c r="I37" s="18"/>
      <c r="J37" s="18"/>
      <c r="K37" s="18"/>
      <c r="L37" s="16"/>
      <c r="Q37" s="111"/>
    </row>
    <row r="38" spans="1:17" ht="11.15" customHeight="1" x14ac:dyDescent="0.3">
      <c r="A38" s="5"/>
      <c r="B38" s="125"/>
      <c r="C38" s="113"/>
      <c r="D38" s="137"/>
      <c r="E38" s="18"/>
      <c r="F38" s="18"/>
      <c r="G38" s="18"/>
      <c r="H38" s="14"/>
      <c r="I38" s="18"/>
      <c r="J38" s="18"/>
      <c r="K38" s="18"/>
      <c r="L38" s="16"/>
      <c r="Q38" s="111"/>
    </row>
    <row r="39" spans="1:17" ht="15.75" customHeight="1" x14ac:dyDescent="0.3">
      <c r="A39" s="5"/>
      <c r="B39" s="125"/>
      <c r="C39" s="15"/>
      <c r="D39" s="24" t="str">
        <f>IF(AA1=2, "Level 1", IF(AB1=TRUE, IF(A47-1=0, "Lowest Level","Lowest Level -"&amp;(A47-1)), "Level 1"))</f>
        <v>Level 1</v>
      </c>
      <c r="E39" s="18"/>
      <c r="F39" s="20">
        <v>10000</v>
      </c>
      <c r="G39" s="18"/>
      <c r="H39" s="13" t="s">
        <v>8</v>
      </c>
      <c r="I39" s="18"/>
      <c r="J39" s="21" t="s">
        <v>9</v>
      </c>
      <c r="K39" s="18"/>
      <c r="L39" s="22" t="s">
        <v>8</v>
      </c>
      <c r="Q39" s="111"/>
    </row>
    <row r="40" spans="1:17" ht="5.15" customHeight="1" x14ac:dyDescent="0.35">
      <c r="A40" s="5"/>
      <c r="B40" s="125"/>
      <c r="C40" s="15"/>
      <c r="D40" s="10"/>
      <c r="E40" s="11"/>
      <c r="F40" s="11"/>
      <c r="G40" s="11"/>
      <c r="H40" s="9"/>
      <c r="I40" s="11"/>
      <c r="J40" s="11"/>
      <c r="K40" s="11"/>
      <c r="L40" s="23"/>
      <c r="Q40" s="40"/>
    </row>
    <row r="41" spans="1:17" ht="5.15" customHeight="1" x14ac:dyDescent="0.3">
      <c r="A41" s="5"/>
      <c r="B41" s="125"/>
      <c r="C41" s="15"/>
      <c r="D41" s="5"/>
      <c r="E41" s="18"/>
      <c r="F41" s="18"/>
      <c r="G41" s="18"/>
      <c r="H41" s="14"/>
      <c r="I41" s="18"/>
      <c r="J41" s="18"/>
      <c r="K41" s="18"/>
      <c r="L41" s="16"/>
    </row>
    <row r="42" spans="1:17" ht="15.75" customHeight="1" x14ac:dyDescent="0.3">
      <c r="A42" s="5"/>
      <c r="B42" s="125"/>
      <c r="C42" s="15"/>
      <c r="D42" s="25" t="str">
        <f>IF(AA1=2, "Level 2", IF(AB1=TRUE, IF(A47-2=0, "Lowest Level","Lowest Level -"&amp;(A47-2)), "Level 2"))</f>
        <v>Level 2</v>
      </c>
      <c r="E42" s="18"/>
      <c r="F42" s="20">
        <v>10000</v>
      </c>
      <c r="G42" s="18"/>
      <c r="H42" s="13" t="s">
        <v>8</v>
      </c>
      <c r="I42" s="18"/>
      <c r="J42" s="21" t="s">
        <v>9</v>
      </c>
      <c r="K42" s="18"/>
      <c r="L42" s="22" t="s">
        <v>8</v>
      </c>
    </row>
    <row r="43" spans="1:17" ht="5.15" customHeight="1" x14ac:dyDescent="0.3">
      <c r="A43" s="5"/>
      <c r="B43" s="125"/>
      <c r="C43" s="15"/>
      <c r="D43" s="10"/>
      <c r="E43" s="11"/>
      <c r="F43" s="11"/>
      <c r="G43" s="11"/>
      <c r="H43" s="9"/>
      <c r="I43" s="11"/>
      <c r="J43" s="11"/>
      <c r="K43" s="11"/>
      <c r="L43" s="23"/>
    </row>
    <row r="44" spans="1:17" ht="5.15" customHeight="1" x14ac:dyDescent="0.3">
      <c r="A44" s="5"/>
      <c r="B44" s="125"/>
      <c r="C44" s="15"/>
      <c r="D44" s="5"/>
      <c r="E44" s="18"/>
      <c r="F44" s="18"/>
      <c r="G44" s="18"/>
      <c r="H44" s="14"/>
      <c r="I44" s="18"/>
      <c r="J44" s="18"/>
      <c r="K44" s="18"/>
      <c r="L44" s="16"/>
    </row>
    <row r="45" spans="1:17" ht="15.75" customHeight="1" x14ac:dyDescent="0.3">
      <c r="A45" s="5"/>
      <c r="B45" s="125"/>
      <c r="C45" s="15"/>
      <c r="D45" s="26" t="str">
        <f>IF(AA1=2, "Level 3", IF(AB1=TRUE, IF(A47-3=0, "Lowest Level","Lowest Level -"&amp;(A47-3)), "Level 3"))</f>
        <v>Level 3</v>
      </c>
      <c r="E45" s="18"/>
      <c r="F45" s="20">
        <v>10000</v>
      </c>
      <c r="G45" s="18"/>
      <c r="H45" s="13" t="s">
        <v>8</v>
      </c>
      <c r="I45" s="18"/>
      <c r="J45" s="21" t="s">
        <v>9</v>
      </c>
      <c r="K45" s="18"/>
      <c r="L45" s="22" t="s">
        <v>8</v>
      </c>
    </row>
    <row r="46" spans="1:17" ht="5.15" customHeight="1" x14ac:dyDescent="0.3">
      <c r="A46" s="5"/>
      <c r="B46" s="125"/>
      <c r="C46" s="15"/>
      <c r="D46" s="10"/>
      <c r="E46" s="11"/>
      <c r="F46" s="11"/>
      <c r="G46" s="11"/>
      <c r="H46" s="9"/>
      <c r="I46" s="11"/>
      <c r="J46" s="11"/>
      <c r="K46" s="11"/>
      <c r="L46" s="23"/>
    </row>
    <row r="47" spans="1:17" ht="22" customHeight="1" x14ac:dyDescent="0.3">
      <c r="A47" s="5">
        <v>3</v>
      </c>
      <c r="B47" s="125"/>
      <c r="C47" s="15"/>
      <c r="D47" s="5"/>
      <c r="E47" s="5"/>
      <c r="F47" s="5"/>
      <c r="G47" s="5"/>
      <c r="H47" s="5"/>
      <c r="I47" s="5"/>
      <c r="J47" s="5"/>
      <c r="K47" s="5"/>
      <c r="L47" s="16"/>
    </row>
    <row r="48" spans="1:17" ht="5.15" customHeight="1" thickBot="1" x14ac:dyDescent="0.35">
      <c r="A48" s="5"/>
      <c r="B48" s="132"/>
      <c r="C48" s="27"/>
      <c r="D48" s="28"/>
      <c r="E48" s="28"/>
      <c r="F48" s="28"/>
      <c r="G48" s="28"/>
      <c r="H48" s="28"/>
      <c r="I48" s="28"/>
      <c r="J48" s="28"/>
      <c r="K48" s="28"/>
      <c r="L48" s="29"/>
    </row>
    <row r="49" spans="1:12" ht="9" customHeight="1" x14ac:dyDescent="0.3">
      <c r="A49" s="5"/>
      <c r="B49" s="5"/>
      <c r="C49" s="5"/>
      <c r="D49" s="5"/>
      <c r="E49" s="5"/>
      <c r="F49" s="5"/>
      <c r="G49" s="5"/>
      <c r="H49" s="5"/>
      <c r="I49" s="5"/>
      <c r="J49" s="5"/>
      <c r="K49" s="5"/>
      <c r="L49" s="5"/>
    </row>
    <row r="50" spans="1:12" ht="24.65" customHeight="1" x14ac:dyDescent="0.3">
      <c r="A50" s="5"/>
      <c r="B50" s="5"/>
      <c r="C50" s="5"/>
      <c r="D50" s="5"/>
      <c r="E50" s="5"/>
      <c r="F50" s="5"/>
      <c r="G50" s="5"/>
      <c r="H50" s="5"/>
      <c r="I50" s="5"/>
      <c r="J50" s="5"/>
      <c r="K50" s="5"/>
      <c r="L50" s="5"/>
    </row>
    <row r="51" spans="1:12" ht="15" customHeight="1" thickBot="1" x14ac:dyDescent="0.35">
      <c r="A51" s="5"/>
      <c r="B51" s="5"/>
      <c r="C51" s="5"/>
      <c r="D51" s="5"/>
      <c r="E51" s="5"/>
      <c r="F51" s="5"/>
      <c r="G51" s="5"/>
      <c r="H51" s="5"/>
      <c r="I51" s="5"/>
      <c r="J51" s="5"/>
      <c r="K51" s="5"/>
      <c r="L51" s="5"/>
    </row>
    <row r="52" spans="1:12" ht="28.4" customHeight="1" x14ac:dyDescent="0.3">
      <c r="A52" s="5"/>
      <c r="B52" s="118" t="s">
        <v>13</v>
      </c>
      <c r="C52" s="119"/>
      <c r="D52" s="119"/>
      <c r="E52" s="119"/>
      <c r="F52" s="119"/>
      <c r="G52" s="119"/>
      <c r="H52" s="119"/>
      <c r="I52" s="119"/>
      <c r="J52" s="119"/>
      <c r="K52" s="119"/>
      <c r="L52" s="120"/>
    </row>
    <row r="53" spans="1:12" ht="28.4" customHeight="1" thickBot="1" x14ac:dyDescent="0.35">
      <c r="A53" s="5"/>
      <c r="B53" s="121"/>
      <c r="C53" s="122"/>
      <c r="D53" s="122"/>
      <c r="E53" s="122"/>
      <c r="F53" s="122"/>
      <c r="G53" s="122"/>
      <c r="H53" s="122"/>
      <c r="I53" s="122"/>
      <c r="J53" s="122"/>
      <c r="K53" s="122"/>
      <c r="L53" s="123"/>
    </row>
    <row r="54" spans="1:12" ht="16" customHeight="1" x14ac:dyDescent="0.3">
      <c r="A54" s="5"/>
      <c r="B54" s="136" t="s">
        <v>12</v>
      </c>
      <c r="C54" s="30"/>
      <c r="D54" s="30"/>
      <c r="E54" s="30"/>
      <c r="F54" s="30"/>
      <c r="G54" s="30"/>
      <c r="H54" s="30"/>
      <c r="I54" s="30"/>
      <c r="J54" s="30"/>
      <c r="K54" s="30"/>
      <c r="L54" s="31"/>
    </row>
    <row r="55" spans="1:12" ht="18" customHeight="1" x14ac:dyDescent="0.3">
      <c r="A55" s="5"/>
      <c r="B55" s="125"/>
      <c r="C55" s="8"/>
      <c r="D55" s="9"/>
      <c r="E55" s="115" t="s">
        <v>3</v>
      </c>
      <c r="F55" s="116"/>
      <c r="G55" s="117"/>
      <c r="H55" s="7" t="s">
        <v>4</v>
      </c>
      <c r="I55" s="115" t="s">
        <v>5</v>
      </c>
      <c r="J55" s="116"/>
      <c r="K55" s="117"/>
      <c r="L55" s="17" t="s">
        <v>4</v>
      </c>
    </row>
    <row r="56" spans="1:12" ht="5.15" customHeight="1" x14ac:dyDescent="0.3">
      <c r="A56" s="5"/>
      <c r="B56" s="125"/>
      <c r="C56" s="112"/>
      <c r="D56" s="5"/>
      <c r="E56" s="18"/>
      <c r="F56" s="18"/>
      <c r="G56" s="18"/>
      <c r="H56" s="12"/>
      <c r="I56" s="18"/>
      <c r="J56" s="18"/>
      <c r="K56" s="18"/>
      <c r="L56" s="16"/>
    </row>
    <row r="57" spans="1:12" ht="16" customHeight="1" x14ac:dyDescent="0.3">
      <c r="A57" s="5"/>
      <c r="B57" s="125"/>
      <c r="C57" s="113"/>
      <c r="D57" s="19" t="s">
        <v>14</v>
      </c>
      <c r="E57" s="18"/>
      <c r="F57" s="20">
        <v>10000</v>
      </c>
      <c r="G57" s="18"/>
      <c r="H57" s="13" t="s">
        <v>8</v>
      </c>
      <c r="I57" s="18"/>
      <c r="J57" s="21" t="s">
        <v>9</v>
      </c>
      <c r="K57" s="18"/>
      <c r="L57" s="22" t="s">
        <v>8</v>
      </c>
    </row>
    <row r="58" spans="1:12" ht="5.15" customHeight="1" x14ac:dyDescent="0.3">
      <c r="A58" s="5"/>
      <c r="B58" s="125"/>
      <c r="C58" s="114"/>
      <c r="D58" s="10"/>
      <c r="E58" s="11"/>
      <c r="F58" s="11"/>
      <c r="G58" s="11"/>
      <c r="H58" s="9"/>
      <c r="I58" s="11"/>
      <c r="J58" s="11"/>
      <c r="K58" s="11"/>
      <c r="L58" s="23"/>
    </row>
    <row r="59" spans="1:12" ht="5.15" customHeight="1" x14ac:dyDescent="0.3">
      <c r="A59" s="5"/>
      <c r="B59" s="125"/>
      <c r="C59" s="113"/>
      <c r="D59" s="5"/>
      <c r="E59" s="18"/>
      <c r="F59" s="18"/>
      <c r="G59" s="18"/>
      <c r="H59" s="14"/>
      <c r="I59" s="18"/>
      <c r="J59" s="18"/>
      <c r="K59" s="18"/>
      <c r="L59" s="16"/>
    </row>
    <row r="60" spans="1:12" ht="16" customHeight="1" x14ac:dyDescent="0.3">
      <c r="A60" s="5"/>
      <c r="B60" s="125"/>
      <c r="C60" s="113"/>
      <c r="D60" s="19" t="s">
        <v>15</v>
      </c>
      <c r="E60" s="18"/>
      <c r="F60" s="20">
        <v>10000</v>
      </c>
      <c r="G60" s="18"/>
      <c r="H60" s="13" t="s">
        <v>8</v>
      </c>
      <c r="I60" s="18"/>
      <c r="J60" s="21" t="s">
        <v>9</v>
      </c>
      <c r="K60" s="18"/>
      <c r="L60" s="22" t="s">
        <v>8</v>
      </c>
    </row>
    <row r="61" spans="1:12" ht="5.15" customHeight="1" x14ac:dyDescent="0.3">
      <c r="A61" s="5"/>
      <c r="B61" s="125"/>
      <c r="C61" s="114"/>
      <c r="D61" s="10"/>
      <c r="E61" s="11"/>
      <c r="F61" s="11"/>
      <c r="G61" s="11"/>
      <c r="H61" s="9"/>
      <c r="I61" s="11"/>
      <c r="J61" s="11"/>
      <c r="K61" s="11"/>
      <c r="L61" s="23"/>
    </row>
    <row r="62" spans="1:12" ht="5.15" customHeight="1" x14ac:dyDescent="0.3">
      <c r="A62" s="5"/>
      <c r="B62" s="125"/>
      <c r="C62" s="113"/>
      <c r="D62" s="5"/>
      <c r="E62" s="18"/>
      <c r="F62" s="18"/>
      <c r="G62" s="18"/>
      <c r="H62" s="14"/>
      <c r="I62" s="18"/>
      <c r="J62" s="18"/>
      <c r="K62" s="18"/>
      <c r="L62" s="16"/>
    </row>
    <row r="63" spans="1:12" ht="16" customHeight="1" x14ac:dyDescent="0.3">
      <c r="A63" s="5"/>
      <c r="B63" s="125"/>
      <c r="C63" s="113"/>
      <c r="D63" s="19" t="s">
        <v>16</v>
      </c>
      <c r="E63" s="18"/>
      <c r="F63" s="20">
        <v>10000</v>
      </c>
      <c r="G63" s="18"/>
      <c r="H63" s="13" t="s">
        <v>8</v>
      </c>
      <c r="I63" s="18"/>
      <c r="J63" s="21" t="s">
        <v>9</v>
      </c>
      <c r="K63" s="18"/>
      <c r="L63" s="22" t="s">
        <v>8</v>
      </c>
    </row>
    <row r="64" spans="1:12" ht="5.15" customHeight="1" x14ac:dyDescent="0.3">
      <c r="A64" s="5"/>
      <c r="B64" s="125"/>
      <c r="C64" s="114"/>
      <c r="D64" s="10"/>
      <c r="E64" s="11"/>
      <c r="F64" s="11"/>
      <c r="G64" s="11"/>
      <c r="H64" s="9"/>
      <c r="I64" s="11"/>
      <c r="J64" s="11"/>
      <c r="K64" s="11"/>
      <c r="L64" s="23"/>
    </row>
    <row r="65" spans="1:12" ht="5.15" customHeight="1" x14ac:dyDescent="0.3">
      <c r="A65" s="5"/>
      <c r="B65" s="125"/>
      <c r="C65" s="113"/>
      <c r="D65" s="5"/>
      <c r="E65" s="18"/>
      <c r="F65" s="18"/>
      <c r="G65" s="18"/>
      <c r="H65" s="14"/>
      <c r="I65" s="18"/>
      <c r="J65" s="18"/>
      <c r="K65" s="18"/>
      <c r="L65" s="16"/>
    </row>
    <row r="66" spans="1:12" ht="16" customHeight="1" x14ac:dyDescent="0.3">
      <c r="A66" s="5"/>
      <c r="B66" s="125"/>
      <c r="C66" s="113"/>
      <c r="D66" s="19" t="s">
        <v>17</v>
      </c>
      <c r="E66" s="18"/>
      <c r="F66" s="20">
        <v>10000</v>
      </c>
      <c r="G66" s="18"/>
      <c r="H66" s="13" t="s">
        <v>8</v>
      </c>
      <c r="I66" s="18"/>
      <c r="J66" s="21" t="s">
        <v>9</v>
      </c>
      <c r="K66" s="18"/>
      <c r="L66" s="22" t="s">
        <v>8</v>
      </c>
    </row>
    <row r="67" spans="1:12" ht="5.15" customHeight="1" x14ac:dyDescent="0.3">
      <c r="A67" s="5"/>
      <c r="B67" s="125"/>
      <c r="C67" s="114"/>
      <c r="D67" s="10"/>
      <c r="E67" s="11"/>
      <c r="F67" s="11"/>
      <c r="G67" s="11"/>
      <c r="H67" s="9"/>
      <c r="I67" s="11"/>
      <c r="J67" s="11"/>
      <c r="K67" s="11"/>
      <c r="L67" s="23"/>
    </row>
    <row r="68" spans="1:12" ht="5.15" customHeight="1" x14ac:dyDescent="0.3">
      <c r="A68" s="5"/>
      <c r="B68" s="125"/>
      <c r="C68" s="113"/>
      <c r="D68" s="5"/>
      <c r="E68" s="18"/>
      <c r="F68" s="18"/>
      <c r="G68" s="18"/>
      <c r="H68" s="14"/>
      <c r="I68" s="18"/>
      <c r="J68" s="18"/>
      <c r="K68" s="18"/>
      <c r="L68" s="16"/>
    </row>
    <row r="69" spans="1:12" ht="16" customHeight="1" x14ac:dyDescent="0.3">
      <c r="A69" s="5"/>
      <c r="B69" s="125"/>
      <c r="C69" s="113"/>
      <c r="D69" s="19" t="s">
        <v>18</v>
      </c>
      <c r="E69" s="18"/>
      <c r="F69" s="20">
        <v>10000</v>
      </c>
      <c r="G69" s="18"/>
      <c r="H69" s="13" t="s">
        <v>8</v>
      </c>
      <c r="I69" s="18"/>
      <c r="J69" s="21" t="s">
        <v>9</v>
      </c>
      <c r="K69" s="18"/>
      <c r="L69" s="22" t="s">
        <v>8</v>
      </c>
    </row>
    <row r="70" spans="1:12" ht="5.15" customHeight="1" x14ac:dyDescent="0.3">
      <c r="A70" s="5"/>
      <c r="B70" s="125"/>
      <c r="C70" s="114"/>
      <c r="D70" s="10"/>
      <c r="E70" s="11"/>
      <c r="F70" s="11"/>
      <c r="G70" s="11"/>
      <c r="H70" s="9"/>
      <c r="I70" s="11"/>
      <c r="J70" s="11"/>
      <c r="K70" s="11"/>
      <c r="L70" s="23"/>
    </row>
    <row r="71" spans="1:12" ht="5.15" customHeight="1" x14ac:dyDescent="0.3">
      <c r="A71" s="5"/>
      <c r="B71" s="125"/>
      <c r="C71" s="113"/>
      <c r="D71" s="5"/>
      <c r="E71" s="18"/>
      <c r="F71" s="18"/>
      <c r="G71" s="18"/>
      <c r="H71" s="14"/>
      <c r="I71" s="18"/>
      <c r="J71" s="18"/>
      <c r="K71" s="18"/>
      <c r="L71" s="16"/>
    </row>
    <row r="72" spans="1:12" ht="16" customHeight="1" x14ac:dyDescent="0.3">
      <c r="A72" s="5"/>
      <c r="B72" s="125"/>
      <c r="C72" s="113"/>
      <c r="D72" s="19" t="s">
        <v>19</v>
      </c>
      <c r="E72" s="18"/>
      <c r="F72" s="18"/>
      <c r="G72" s="18"/>
      <c r="H72" s="14"/>
      <c r="I72" s="18"/>
      <c r="J72" s="18"/>
      <c r="K72" s="18"/>
      <c r="L72" s="16"/>
    </row>
    <row r="73" spans="1:12" ht="5.15" customHeight="1" x14ac:dyDescent="0.3">
      <c r="A73" s="5"/>
      <c r="B73" s="125"/>
      <c r="C73" s="15"/>
      <c r="D73" s="19"/>
      <c r="E73" s="18"/>
      <c r="F73" s="18"/>
      <c r="G73" s="18"/>
      <c r="H73" s="14"/>
      <c r="I73" s="18"/>
      <c r="J73" s="18"/>
      <c r="K73" s="18"/>
      <c r="L73" s="16"/>
    </row>
    <row r="74" spans="1:12" ht="16" customHeight="1" x14ac:dyDescent="0.3">
      <c r="A74" s="5"/>
      <c r="B74" s="125"/>
      <c r="C74" s="15"/>
      <c r="D74" s="46" t="s">
        <v>48</v>
      </c>
      <c r="E74" s="18"/>
      <c r="F74" s="56">
        <v>10000</v>
      </c>
      <c r="G74" s="18"/>
      <c r="H74" s="13" t="s">
        <v>49</v>
      </c>
      <c r="I74" s="18"/>
      <c r="J74" s="21" t="s">
        <v>9</v>
      </c>
      <c r="K74" s="18"/>
      <c r="L74" s="22"/>
    </row>
    <row r="75" spans="1:12" ht="5.15" customHeight="1" x14ac:dyDescent="0.3">
      <c r="A75" s="5"/>
      <c r="B75" s="125"/>
      <c r="C75" s="15"/>
      <c r="D75" s="48"/>
      <c r="E75" s="11"/>
      <c r="F75" s="11"/>
      <c r="G75" s="11"/>
      <c r="H75" s="9"/>
      <c r="I75" s="11"/>
      <c r="J75" s="11"/>
      <c r="K75" s="11"/>
      <c r="L75" s="23"/>
    </row>
    <row r="76" spans="1:12" ht="5.15" customHeight="1" x14ac:dyDescent="0.3">
      <c r="A76" s="5"/>
      <c r="B76" s="125"/>
      <c r="C76" s="15"/>
      <c r="D76" s="19"/>
      <c r="E76" s="18"/>
      <c r="F76" s="18"/>
      <c r="G76" s="18"/>
      <c r="H76" s="14"/>
      <c r="I76" s="18"/>
      <c r="J76" s="18"/>
      <c r="K76" s="18"/>
      <c r="L76" s="16"/>
    </row>
    <row r="77" spans="1:12" ht="16" customHeight="1" x14ac:dyDescent="0.3">
      <c r="A77" s="5"/>
      <c r="B77" s="125"/>
      <c r="C77" s="15"/>
      <c r="D77" s="46" t="s">
        <v>50</v>
      </c>
      <c r="E77" s="18"/>
      <c r="F77" s="58">
        <v>10000</v>
      </c>
      <c r="G77" s="18"/>
      <c r="H77" s="13" t="s">
        <v>51</v>
      </c>
      <c r="I77" s="18"/>
      <c r="J77" s="21" t="s">
        <v>9</v>
      </c>
      <c r="K77" s="18"/>
      <c r="L77" s="22"/>
    </row>
    <row r="78" spans="1:12" ht="5.15" customHeight="1" x14ac:dyDescent="0.3">
      <c r="A78" s="5"/>
      <c r="B78" s="125"/>
      <c r="C78" s="15"/>
      <c r="D78" s="48"/>
      <c r="E78" s="11"/>
      <c r="F78" s="11"/>
      <c r="G78" s="11"/>
      <c r="H78" s="9"/>
      <c r="I78" s="11"/>
      <c r="J78" s="11"/>
      <c r="K78" s="11"/>
      <c r="L78" s="23"/>
    </row>
    <row r="79" spans="1:12" ht="5.15" customHeight="1" x14ac:dyDescent="0.3">
      <c r="A79" s="5"/>
      <c r="B79" s="125"/>
      <c r="C79" s="15"/>
      <c r="D79" s="19"/>
      <c r="E79" s="18"/>
      <c r="F79" s="18"/>
      <c r="G79" s="18"/>
      <c r="H79" s="14"/>
      <c r="I79" s="18"/>
      <c r="J79" s="18"/>
      <c r="K79" s="18"/>
      <c r="L79" s="16"/>
    </row>
    <row r="80" spans="1:12" ht="16" customHeight="1" x14ac:dyDescent="0.3">
      <c r="A80" s="5"/>
      <c r="B80" s="125"/>
      <c r="C80" s="15"/>
      <c r="D80" s="46" t="s">
        <v>52</v>
      </c>
      <c r="E80" s="18"/>
      <c r="F80" s="59">
        <v>10000</v>
      </c>
      <c r="G80" s="18"/>
      <c r="H80" s="13" t="s">
        <v>49</v>
      </c>
      <c r="I80" s="18"/>
      <c r="J80" s="21" t="s">
        <v>9</v>
      </c>
      <c r="K80" s="18"/>
      <c r="L80" s="22"/>
    </row>
    <row r="81" spans="1:12" ht="5.15" customHeight="1" x14ac:dyDescent="0.3">
      <c r="A81" s="5"/>
      <c r="B81" s="125"/>
      <c r="C81" s="15"/>
      <c r="D81" s="48"/>
      <c r="E81" s="11"/>
      <c r="F81" s="11"/>
      <c r="G81" s="11"/>
      <c r="H81" s="9"/>
      <c r="I81" s="11"/>
      <c r="J81" s="11"/>
      <c r="K81" s="11"/>
      <c r="L81" s="23"/>
    </row>
    <row r="82" spans="1:12" ht="5.15" customHeight="1" x14ac:dyDescent="0.3">
      <c r="A82" s="5"/>
      <c r="B82" s="125"/>
      <c r="C82" s="15"/>
      <c r="D82" s="19"/>
      <c r="E82" s="18"/>
      <c r="F82" s="18"/>
      <c r="G82" s="18"/>
      <c r="H82" s="14"/>
      <c r="I82" s="18"/>
      <c r="J82" s="18"/>
      <c r="K82" s="18"/>
      <c r="L82" s="16"/>
    </row>
    <row r="83" spans="1:12" ht="15.75" customHeight="1" x14ac:dyDescent="0.3">
      <c r="A83" s="5"/>
      <c r="B83" s="125"/>
      <c r="C83" s="15"/>
      <c r="D83" s="46" t="s">
        <v>162</v>
      </c>
      <c r="E83" s="18"/>
      <c r="F83" s="20">
        <v>10000</v>
      </c>
      <c r="G83" s="18"/>
      <c r="H83" s="13"/>
      <c r="I83" s="18"/>
      <c r="J83" s="99" t="s">
        <v>9</v>
      </c>
      <c r="K83" s="18"/>
      <c r="L83" s="22" t="s">
        <v>8</v>
      </c>
    </row>
    <row r="84" spans="1:12" ht="5.15" customHeight="1" x14ac:dyDescent="0.3">
      <c r="A84" s="5"/>
      <c r="B84" s="125"/>
      <c r="C84" s="15"/>
      <c r="D84" s="48"/>
      <c r="E84" s="11"/>
      <c r="F84" s="11"/>
      <c r="G84" s="11"/>
      <c r="H84" s="9"/>
      <c r="I84" s="11"/>
      <c r="J84" s="11"/>
      <c r="K84" s="11"/>
      <c r="L84" s="23"/>
    </row>
    <row r="85" spans="1:12" ht="5.15" customHeight="1" x14ac:dyDescent="0.3">
      <c r="A85" s="5"/>
      <c r="B85" s="125"/>
      <c r="C85" s="15"/>
      <c r="D85" s="19"/>
      <c r="E85" s="18"/>
      <c r="F85" s="18"/>
      <c r="G85" s="18"/>
      <c r="H85" s="14"/>
      <c r="I85" s="18"/>
      <c r="J85" s="18"/>
      <c r="K85" s="18"/>
      <c r="L85" s="16"/>
    </row>
    <row r="86" spans="1:12" ht="15.75" customHeight="1" x14ac:dyDescent="0.3">
      <c r="A86" s="5"/>
      <c r="B86" s="125"/>
      <c r="C86" s="15"/>
      <c r="D86" s="46" t="s">
        <v>113</v>
      </c>
      <c r="E86" s="18"/>
      <c r="F86" s="78">
        <v>1000</v>
      </c>
      <c r="G86" s="18"/>
      <c r="H86" s="13" t="s">
        <v>8</v>
      </c>
      <c r="I86" s="18"/>
      <c r="J86" s="98" t="s">
        <v>9</v>
      </c>
      <c r="K86" s="18"/>
      <c r="L86" s="22" t="s">
        <v>8</v>
      </c>
    </row>
    <row r="87" spans="1:12" ht="5.15" customHeight="1" x14ac:dyDescent="0.3">
      <c r="A87" s="5"/>
      <c r="B87" s="125"/>
      <c r="C87" s="15"/>
      <c r="D87" s="48"/>
      <c r="E87" s="11"/>
      <c r="F87" s="11"/>
      <c r="G87" s="11"/>
      <c r="H87" s="9"/>
      <c r="I87" s="11"/>
      <c r="J87" s="11"/>
      <c r="K87" s="11"/>
      <c r="L87" s="23"/>
    </row>
    <row r="88" spans="1:12" ht="5.15" customHeight="1" x14ac:dyDescent="0.3">
      <c r="A88" s="5"/>
      <c r="B88" s="125"/>
      <c r="C88" s="15"/>
      <c r="D88" s="19"/>
      <c r="E88" s="18"/>
      <c r="F88" s="18"/>
      <c r="G88" s="18"/>
      <c r="H88" s="14"/>
      <c r="I88" s="18"/>
      <c r="J88" s="18"/>
      <c r="K88" s="18"/>
      <c r="L88" s="16"/>
    </row>
    <row r="89" spans="1:12" ht="15.75" customHeight="1" x14ac:dyDescent="0.3">
      <c r="A89" s="5"/>
      <c r="B89" s="125"/>
      <c r="C89" s="15"/>
      <c r="D89" s="46" t="s">
        <v>166</v>
      </c>
      <c r="E89" s="18"/>
      <c r="F89" s="20">
        <v>10000</v>
      </c>
      <c r="G89" s="18"/>
      <c r="H89" s="13"/>
      <c r="I89" s="18"/>
      <c r="J89" s="99" t="s">
        <v>9</v>
      </c>
      <c r="K89" s="18"/>
      <c r="L89" s="22" t="s">
        <v>8</v>
      </c>
    </row>
    <row r="90" spans="1:12" ht="5.15" customHeight="1" x14ac:dyDescent="0.3">
      <c r="A90" s="5"/>
      <c r="B90" s="125"/>
      <c r="C90" s="15"/>
      <c r="D90" s="48"/>
      <c r="E90" s="11"/>
      <c r="F90" s="11"/>
      <c r="G90" s="11"/>
      <c r="H90" s="9"/>
      <c r="I90" s="11"/>
      <c r="J90" s="11"/>
      <c r="K90" s="11"/>
      <c r="L90" s="23"/>
    </row>
    <row r="91" spans="1:12" ht="5.15" customHeight="1" x14ac:dyDescent="0.3">
      <c r="A91" s="5"/>
      <c r="B91" s="125"/>
      <c r="C91" s="15"/>
      <c r="D91" s="19"/>
      <c r="E91" s="18"/>
      <c r="F91" s="18"/>
      <c r="G91" s="18"/>
      <c r="H91" s="14"/>
      <c r="I91" s="18"/>
      <c r="J91" s="18"/>
      <c r="K91" s="18"/>
      <c r="L91" s="16"/>
    </row>
    <row r="92" spans="1:12" ht="15.75" customHeight="1" x14ac:dyDescent="0.3">
      <c r="A92" s="5"/>
      <c r="B92" s="125"/>
      <c r="C92" s="15"/>
      <c r="D92" s="46" t="s">
        <v>169</v>
      </c>
      <c r="E92" s="18"/>
      <c r="F92" s="20">
        <v>10000</v>
      </c>
      <c r="G92" s="18"/>
      <c r="H92" s="13"/>
      <c r="I92" s="18"/>
      <c r="J92" s="101" t="s">
        <v>9</v>
      </c>
      <c r="K92" s="18"/>
      <c r="L92" s="22" t="s">
        <v>8</v>
      </c>
    </row>
    <row r="93" spans="1:12" ht="5.15" customHeight="1" x14ac:dyDescent="0.3">
      <c r="A93" s="5"/>
      <c r="B93" s="125"/>
      <c r="C93" s="15"/>
      <c r="D93" s="48"/>
      <c r="E93" s="11"/>
      <c r="F93" s="11"/>
      <c r="G93" s="11"/>
      <c r="H93" s="9"/>
      <c r="I93" s="11"/>
      <c r="J93" s="11"/>
      <c r="K93" s="11"/>
      <c r="L93" s="23"/>
    </row>
    <row r="94" spans="1:12" ht="22" customHeight="1" x14ac:dyDescent="0.3">
      <c r="A94" s="5"/>
      <c r="B94" s="125"/>
      <c r="C94" s="15"/>
      <c r="D94" s="5"/>
      <c r="E94" s="5"/>
      <c r="F94" s="5"/>
      <c r="G94" s="5"/>
      <c r="H94" s="14"/>
      <c r="I94" s="5"/>
      <c r="J94" s="5"/>
      <c r="K94" s="5"/>
      <c r="L94" s="16"/>
    </row>
    <row r="95" spans="1:12" ht="5.15" customHeight="1" thickBot="1" x14ac:dyDescent="0.35">
      <c r="A95" s="5"/>
      <c r="B95" s="132"/>
      <c r="C95" s="27"/>
      <c r="D95" s="28"/>
      <c r="E95" s="28"/>
      <c r="F95" s="28"/>
      <c r="G95" s="28"/>
      <c r="H95" s="32"/>
      <c r="I95" s="28"/>
      <c r="J95" s="28"/>
      <c r="K95" s="28"/>
      <c r="L95" s="29"/>
    </row>
    <row r="96" spans="1:12" ht="18" customHeight="1" x14ac:dyDescent="0.3">
      <c r="A96" s="5"/>
      <c r="B96" s="124" t="s">
        <v>6</v>
      </c>
      <c r="C96" s="5"/>
      <c r="D96" s="5"/>
      <c r="E96" s="5"/>
      <c r="F96" s="5"/>
      <c r="G96" s="5"/>
      <c r="H96" s="5"/>
      <c r="I96" s="5"/>
      <c r="J96" s="5"/>
      <c r="K96" s="5"/>
      <c r="L96" s="16"/>
    </row>
    <row r="97" spans="1:12" ht="17.149999999999999" customHeight="1" x14ac:dyDescent="0.3">
      <c r="A97" s="5"/>
      <c r="B97" s="125"/>
      <c r="C97" s="8"/>
      <c r="D97" s="9"/>
      <c r="E97" s="115" t="s">
        <v>3</v>
      </c>
      <c r="F97" s="116"/>
      <c r="G97" s="117"/>
      <c r="H97" s="7" t="s">
        <v>4</v>
      </c>
      <c r="I97" s="115" t="s">
        <v>5</v>
      </c>
      <c r="J97" s="116"/>
      <c r="K97" s="117"/>
      <c r="L97" s="17" t="s">
        <v>4</v>
      </c>
    </row>
    <row r="98" spans="1:12" ht="5.15" customHeight="1" x14ac:dyDescent="0.3">
      <c r="A98" s="5"/>
      <c r="B98" s="125"/>
      <c r="C98" s="112"/>
      <c r="D98" s="5"/>
      <c r="E98" s="18"/>
      <c r="F98" s="18"/>
      <c r="G98" s="18"/>
      <c r="H98" s="12"/>
      <c r="I98" s="18"/>
      <c r="J98" s="18"/>
      <c r="K98" s="18"/>
      <c r="L98" s="16"/>
    </row>
    <row r="99" spans="1:12" ht="16" customHeight="1" x14ac:dyDescent="0.3">
      <c r="A99" s="5"/>
      <c r="B99" s="125"/>
      <c r="C99" s="113"/>
      <c r="D99" s="19" t="s">
        <v>14</v>
      </c>
      <c r="E99" s="18"/>
      <c r="F99" s="20">
        <v>10000</v>
      </c>
      <c r="G99" s="18"/>
      <c r="H99" s="13" t="s">
        <v>8</v>
      </c>
      <c r="I99" s="18"/>
      <c r="J99" s="21" t="s">
        <v>9</v>
      </c>
      <c r="K99" s="18"/>
      <c r="L99" s="22" t="s">
        <v>8</v>
      </c>
    </row>
    <row r="100" spans="1:12" ht="5.15" customHeight="1" x14ac:dyDescent="0.3">
      <c r="A100" s="5"/>
      <c r="B100" s="125"/>
      <c r="C100" s="114"/>
      <c r="D100" s="10"/>
      <c r="E100" s="11"/>
      <c r="F100" s="11"/>
      <c r="G100" s="11"/>
      <c r="H100" s="9"/>
      <c r="I100" s="11"/>
      <c r="J100" s="11"/>
      <c r="K100" s="11"/>
      <c r="L100" s="23"/>
    </row>
    <row r="101" spans="1:12" ht="5.15" customHeight="1" x14ac:dyDescent="0.3">
      <c r="A101" s="5"/>
      <c r="B101" s="125"/>
      <c r="C101" s="113"/>
      <c r="D101" s="5"/>
      <c r="E101" s="18"/>
      <c r="F101" s="18"/>
      <c r="G101" s="18"/>
      <c r="H101" s="14"/>
      <c r="I101" s="18"/>
      <c r="J101" s="18"/>
      <c r="K101" s="18"/>
      <c r="L101" s="16"/>
    </row>
    <row r="102" spans="1:12" ht="16" customHeight="1" x14ac:dyDescent="0.3">
      <c r="A102" s="5"/>
      <c r="B102" s="125"/>
      <c r="C102" s="113"/>
      <c r="D102" s="19" t="s">
        <v>15</v>
      </c>
      <c r="E102" s="18"/>
      <c r="F102" s="20">
        <v>10000</v>
      </c>
      <c r="G102" s="18"/>
      <c r="H102" s="13" t="s">
        <v>8</v>
      </c>
      <c r="I102" s="18"/>
      <c r="J102" s="21" t="s">
        <v>9</v>
      </c>
      <c r="K102" s="18"/>
      <c r="L102" s="22" t="s">
        <v>8</v>
      </c>
    </row>
    <row r="103" spans="1:12" ht="5.15" customHeight="1" x14ac:dyDescent="0.3">
      <c r="A103" s="5"/>
      <c r="B103" s="125"/>
      <c r="C103" s="114"/>
      <c r="D103" s="10"/>
      <c r="E103" s="11"/>
      <c r="F103" s="11"/>
      <c r="G103" s="11"/>
      <c r="H103" s="9"/>
      <c r="I103" s="11"/>
      <c r="J103" s="11"/>
      <c r="K103" s="11"/>
      <c r="L103" s="23"/>
    </row>
    <row r="104" spans="1:12" ht="5.15" customHeight="1" x14ac:dyDescent="0.3">
      <c r="A104" s="5"/>
      <c r="B104" s="125"/>
      <c r="C104" s="113"/>
      <c r="D104" s="5"/>
      <c r="E104" s="18"/>
      <c r="F104" s="18"/>
      <c r="G104" s="18"/>
      <c r="H104" s="14"/>
      <c r="I104" s="18"/>
      <c r="J104" s="18"/>
      <c r="K104" s="18"/>
      <c r="L104" s="16"/>
    </row>
    <row r="105" spans="1:12" ht="16" customHeight="1" x14ac:dyDescent="0.3">
      <c r="A105" s="5"/>
      <c r="B105" s="125"/>
      <c r="C105" s="113"/>
      <c r="D105" s="19" t="s">
        <v>16</v>
      </c>
      <c r="E105" s="18"/>
      <c r="F105" s="20">
        <v>10000</v>
      </c>
      <c r="G105" s="18"/>
      <c r="H105" s="13" t="s">
        <v>8</v>
      </c>
      <c r="I105" s="18"/>
      <c r="J105" s="21" t="s">
        <v>9</v>
      </c>
      <c r="K105" s="18"/>
      <c r="L105" s="22" t="s">
        <v>8</v>
      </c>
    </row>
    <row r="106" spans="1:12" ht="5.15" customHeight="1" x14ac:dyDescent="0.3">
      <c r="A106" s="5"/>
      <c r="B106" s="125"/>
      <c r="C106" s="114"/>
      <c r="D106" s="10"/>
      <c r="E106" s="11"/>
      <c r="F106" s="11"/>
      <c r="G106" s="11"/>
      <c r="H106" s="9"/>
      <c r="I106" s="11"/>
      <c r="J106" s="11"/>
      <c r="K106" s="11"/>
      <c r="L106" s="23"/>
    </row>
    <row r="107" spans="1:12" ht="5.15" customHeight="1" x14ac:dyDescent="0.3">
      <c r="A107" s="5"/>
      <c r="B107" s="125"/>
      <c r="C107" s="113"/>
      <c r="D107" s="5"/>
      <c r="E107" s="18"/>
      <c r="F107" s="18"/>
      <c r="G107" s="18"/>
      <c r="H107" s="14"/>
      <c r="I107" s="18"/>
      <c r="J107" s="18"/>
      <c r="K107" s="18"/>
      <c r="L107" s="16"/>
    </row>
    <row r="108" spans="1:12" ht="16" customHeight="1" x14ac:dyDescent="0.3">
      <c r="A108" s="5"/>
      <c r="B108" s="125"/>
      <c r="C108" s="113"/>
      <c r="D108" s="19" t="s">
        <v>17</v>
      </c>
      <c r="E108" s="18"/>
      <c r="F108" s="20">
        <v>10000</v>
      </c>
      <c r="G108" s="18"/>
      <c r="H108" s="13" t="s">
        <v>8</v>
      </c>
      <c r="I108" s="18"/>
      <c r="J108" s="21" t="s">
        <v>9</v>
      </c>
      <c r="K108" s="18"/>
      <c r="L108" s="22" t="s">
        <v>8</v>
      </c>
    </row>
    <row r="109" spans="1:12" ht="5.15" customHeight="1" x14ac:dyDescent="0.3">
      <c r="A109" s="5"/>
      <c r="B109" s="125"/>
      <c r="C109" s="114"/>
      <c r="D109" s="10"/>
      <c r="E109" s="11"/>
      <c r="F109" s="11"/>
      <c r="G109" s="11"/>
      <c r="H109" s="9"/>
      <c r="I109" s="11"/>
      <c r="J109" s="11"/>
      <c r="K109" s="11"/>
      <c r="L109" s="23"/>
    </row>
    <row r="110" spans="1:12" ht="5.15" customHeight="1" x14ac:dyDescent="0.3">
      <c r="A110" s="5"/>
      <c r="B110" s="125"/>
      <c r="C110" s="113"/>
      <c r="D110" s="5"/>
      <c r="E110" s="18"/>
      <c r="F110" s="18"/>
      <c r="G110" s="18"/>
      <c r="H110" s="14"/>
      <c r="I110" s="18"/>
      <c r="J110" s="18"/>
      <c r="K110" s="18"/>
      <c r="L110" s="16"/>
    </row>
    <row r="111" spans="1:12" ht="16" customHeight="1" x14ac:dyDescent="0.3">
      <c r="A111" s="5"/>
      <c r="B111" s="125"/>
      <c r="C111" s="113"/>
      <c r="D111" s="19" t="s">
        <v>18</v>
      </c>
      <c r="E111" s="18"/>
      <c r="F111" s="20">
        <v>10000</v>
      </c>
      <c r="G111" s="18"/>
      <c r="H111" s="13" t="s">
        <v>8</v>
      </c>
      <c r="I111" s="18"/>
      <c r="J111" s="21" t="s">
        <v>9</v>
      </c>
      <c r="K111" s="18"/>
      <c r="L111" s="22" t="s">
        <v>8</v>
      </c>
    </row>
    <row r="112" spans="1:12" ht="5.15" customHeight="1" x14ac:dyDescent="0.3">
      <c r="A112" s="5"/>
      <c r="B112" s="125"/>
      <c r="C112" s="114"/>
      <c r="D112" s="10"/>
      <c r="E112" s="11"/>
      <c r="F112" s="11"/>
      <c r="G112" s="11"/>
      <c r="H112" s="9"/>
      <c r="I112" s="11"/>
      <c r="J112" s="11"/>
      <c r="K112" s="11"/>
      <c r="L112" s="23"/>
    </row>
    <row r="113" spans="1:12" ht="5.15" customHeight="1" x14ac:dyDescent="0.3">
      <c r="A113" s="5"/>
      <c r="B113" s="125"/>
      <c r="C113" s="113"/>
      <c r="D113" s="5"/>
      <c r="E113" s="18"/>
      <c r="F113" s="18"/>
      <c r="G113" s="18"/>
      <c r="H113" s="14"/>
      <c r="I113" s="18"/>
      <c r="J113" s="18"/>
      <c r="K113" s="18"/>
      <c r="L113" s="16"/>
    </row>
    <row r="114" spans="1:12" ht="16" customHeight="1" x14ac:dyDescent="0.3">
      <c r="A114" s="5"/>
      <c r="B114" s="125"/>
      <c r="C114" s="113"/>
      <c r="D114" s="19" t="s">
        <v>19</v>
      </c>
      <c r="E114" s="18"/>
      <c r="F114" s="18"/>
      <c r="G114" s="18"/>
      <c r="H114" s="14"/>
      <c r="I114" s="18"/>
      <c r="J114" s="18"/>
      <c r="K114" s="18"/>
      <c r="L114" s="16"/>
    </row>
    <row r="115" spans="1:12" ht="5.15" customHeight="1" x14ac:dyDescent="0.3">
      <c r="A115" s="5"/>
      <c r="B115" s="125"/>
      <c r="C115" s="15"/>
      <c r="D115" s="19"/>
      <c r="E115" s="18"/>
      <c r="F115" s="18"/>
      <c r="G115" s="18"/>
      <c r="H115" s="14"/>
      <c r="I115" s="18"/>
      <c r="J115" s="18"/>
      <c r="K115" s="18"/>
      <c r="L115" s="16"/>
    </row>
    <row r="116" spans="1:12" ht="15.75" customHeight="1" x14ac:dyDescent="0.3">
      <c r="A116" s="5"/>
      <c r="B116" s="125"/>
      <c r="C116" s="15"/>
      <c r="D116" s="46" t="s">
        <v>165</v>
      </c>
      <c r="E116" s="18"/>
      <c r="F116" s="97">
        <v>10000</v>
      </c>
      <c r="G116" s="18"/>
      <c r="H116" s="13" t="s">
        <v>8</v>
      </c>
      <c r="I116" s="18"/>
      <c r="J116" s="43" t="s">
        <v>9</v>
      </c>
      <c r="K116" s="18"/>
      <c r="L116" s="22" t="s">
        <v>8</v>
      </c>
    </row>
    <row r="117" spans="1:12" ht="5.15" customHeight="1" x14ac:dyDescent="0.3">
      <c r="A117" s="5"/>
      <c r="B117" s="125"/>
      <c r="C117" s="15"/>
      <c r="D117" s="48"/>
      <c r="E117" s="11"/>
      <c r="F117" s="11"/>
      <c r="G117" s="11"/>
      <c r="H117" s="9"/>
      <c r="I117" s="11"/>
      <c r="J117" s="11"/>
      <c r="K117" s="11"/>
      <c r="L117" s="23"/>
    </row>
    <row r="118" spans="1:12" ht="22" customHeight="1" x14ac:dyDescent="0.3">
      <c r="A118" s="5"/>
      <c r="B118" s="125"/>
      <c r="C118" s="15"/>
      <c r="D118" s="5"/>
      <c r="E118" s="5"/>
      <c r="F118" s="5"/>
      <c r="G118" s="5"/>
      <c r="H118" s="14"/>
      <c r="I118" s="5"/>
      <c r="J118" s="5"/>
      <c r="K118" s="5"/>
      <c r="L118" s="16"/>
    </row>
    <row r="119" spans="1:12" ht="5.15" customHeight="1" thickBot="1" x14ac:dyDescent="0.35">
      <c r="A119" s="5"/>
      <c r="B119" s="132"/>
      <c r="C119" s="27"/>
      <c r="D119" s="28"/>
      <c r="E119" s="28"/>
      <c r="F119" s="28"/>
      <c r="G119" s="28"/>
      <c r="H119" s="32"/>
      <c r="I119" s="28"/>
      <c r="J119" s="28"/>
      <c r="K119" s="28"/>
      <c r="L119" s="29"/>
    </row>
    <row r="120" spans="1:12" ht="24.65" customHeight="1" x14ac:dyDescent="0.3">
      <c r="A120" s="5"/>
      <c r="B120" s="5"/>
      <c r="C120" s="5"/>
      <c r="D120" s="5"/>
      <c r="E120" s="5"/>
      <c r="F120" s="5"/>
      <c r="G120" s="5"/>
      <c r="H120" s="5"/>
      <c r="I120" s="5"/>
      <c r="J120" s="5"/>
      <c r="K120" s="5"/>
      <c r="L120" s="5"/>
    </row>
    <row r="121" spans="1:12" ht="14.5" thickBot="1" x14ac:dyDescent="0.35">
      <c r="A121" s="5"/>
      <c r="B121" s="5"/>
      <c r="C121" s="5"/>
      <c r="D121" s="5"/>
      <c r="E121" s="5"/>
      <c r="F121" s="5"/>
      <c r="G121" s="5"/>
      <c r="H121" s="5"/>
      <c r="I121" s="5"/>
      <c r="J121" s="5"/>
      <c r="K121" s="5"/>
      <c r="L121" s="5"/>
    </row>
    <row r="122" spans="1:12" ht="28.4" customHeight="1" x14ac:dyDescent="0.3">
      <c r="A122" s="5"/>
      <c r="B122" s="118" t="s">
        <v>20</v>
      </c>
      <c r="C122" s="119"/>
      <c r="D122" s="119"/>
      <c r="E122" s="119"/>
      <c r="F122" s="119"/>
      <c r="G122" s="119"/>
      <c r="H122" s="119"/>
      <c r="I122" s="119"/>
      <c r="J122" s="119"/>
      <c r="K122" s="119"/>
      <c r="L122" s="120"/>
    </row>
    <row r="123" spans="1:12" ht="28.4" customHeight="1" x14ac:dyDescent="0.3">
      <c r="A123" s="5"/>
      <c r="B123" s="121"/>
      <c r="C123" s="122"/>
      <c r="D123" s="122"/>
      <c r="E123" s="122"/>
      <c r="F123" s="122"/>
      <c r="G123" s="122"/>
      <c r="H123" s="122"/>
      <c r="I123" s="122"/>
      <c r="J123" s="122"/>
      <c r="K123" s="122"/>
      <c r="L123" s="123"/>
    </row>
    <row r="124" spans="1:12" ht="21.75" customHeight="1" x14ac:dyDescent="0.3">
      <c r="A124" s="5"/>
      <c r="B124" s="124" t="s">
        <v>6</v>
      </c>
      <c r="C124" s="5"/>
      <c r="D124" s="5"/>
      <c r="E124" s="5"/>
      <c r="F124" s="5"/>
      <c r="G124" s="5"/>
      <c r="H124" s="5"/>
      <c r="I124" s="5"/>
      <c r="J124" s="5"/>
      <c r="K124" s="5"/>
      <c r="L124" s="16"/>
    </row>
    <row r="125" spans="1:12" ht="18" customHeight="1" x14ac:dyDescent="0.3">
      <c r="A125" s="5"/>
      <c r="B125" s="125"/>
      <c r="C125" s="8"/>
      <c r="D125" s="9"/>
      <c r="E125" s="115" t="s">
        <v>3</v>
      </c>
      <c r="F125" s="116"/>
      <c r="G125" s="117"/>
      <c r="H125" s="7" t="s">
        <v>4</v>
      </c>
      <c r="I125" s="115" t="s">
        <v>5</v>
      </c>
      <c r="J125" s="116"/>
      <c r="K125" s="117"/>
      <c r="L125" s="17" t="s">
        <v>4</v>
      </c>
    </row>
    <row r="126" spans="1:12" ht="5.15" customHeight="1" x14ac:dyDescent="0.3">
      <c r="A126" s="5"/>
      <c r="B126" s="125"/>
      <c r="C126" s="112"/>
      <c r="D126" s="5"/>
      <c r="E126" s="18"/>
      <c r="F126" s="18"/>
      <c r="G126" s="18"/>
      <c r="H126" s="12"/>
      <c r="I126" s="18"/>
      <c r="J126" s="18"/>
      <c r="K126" s="18"/>
      <c r="L126" s="16"/>
    </row>
    <row r="127" spans="1:12" ht="15.75" customHeight="1" x14ac:dyDescent="0.3">
      <c r="A127" s="5"/>
      <c r="B127" s="125"/>
      <c r="C127" s="113"/>
      <c r="D127" s="19" t="s">
        <v>21</v>
      </c>
      <c r="E127" s="18"/>
      <c r="F127" s="20">
        <v>10000</v>
      </c>
      <c r="G127" s="18"/>
      <c r="H127" s="13" t="s">
        <v>8</v>
      </c>
      <c r="I127" s="18"/>
      <c r="J127" s="21" t="s">
        <v>9</v>
      </c>
      <c r="K127" s="18"/>
      <c r="L127" s="22" t="s">
        <v>8</v>
      </c>
    </row>
    <row r="128" spans="1:12" ht="5.15" customHeight="1" x14ac:dyDescent="0.3">
      <c r="A128" s="5"/>
      <c r="B128" s="125"/>
      <c r="C128" s="114"/>
      <c r="D128" s="10"/>
      <c r="E128" s="11"/>
      <c r="F128" s="11"/>
      <c r="G128" s="11"/>
      <c r="H128" s="9"/>
      <c r="I128" s="11"/>
      <c r="J128" s="11"/>
      <c r="K128" s="11"/>
      <c r="L128" s="23"/>
    </row>
    <row r="129" spans="1:12" ht="5.15" customHeight="1" x14ac:dyDescent="0.3">
      <c r="A129" s="5"/>
      <c r="B129" s="125"/>
      <c r="C129" s="113"/>
      <c r="D129" s="5"/>
      <c r="E129" s="18"/>
      <c r="F129" s="18"/>
      <c r="G129" s="18"/>
      <c r="H129" s="14"/>
      <c r="I129" s="18"/>
      <c r="J129" s="18"/>
      <c r="K129" s="18"/>
      <c r="L129" s="16"/>
    </row>
    <row r="130" spans="1:12" ht="15.75" customHeight="1" x14ac:dyDescent="0.3">
      <c r="A130" s="5"/>
      <c r="B130" s="125"/>
      <c r="C130" s="113"/>
      <c r="D130" s="19" t="s">
        <v>22</v>
      </c>
      <c r="E130" s="18"/>
      <c r="F130" s="20">
        <v>10000</v>
      </c>
      <c r="G130" s="18"/>
      <c r="H130" s="13" t="s">
        <v>8</v>
      </c>
      <c r="I130" s="18"/>
      <c r="J130" s="21" t="s">
        <v>9</v>
      </c>
      <c r="K130" s="18"/>
      <c r="L130" s="22" t="s">
        <v>8</v>
      </c>
    </row>
    <row r="131" spans="1:12" ht="5.15" customHeight="1" x14ac:dyDescent="0.3">
      <c r="A131" s="5"/>
      <c r="B131" s="126"/>
      <c r="C131" s="114"/>
      <c r="D131" s="10"/>
      <c r="E131" s="11"/>
      <c r="F131" s="11"/>
      <c r="G131" s="11"/>
      <c r="H131" s="9"/>
      <c r="I131" s="11"/>
      <c r="J131" s="11"/>
      <c r="K131" s="11"/>
      <c r="L131" s="23"/>
    </row>
    <row r="132" spans="1:12" ht="21.75" customHeight="1" x14ac:dyDescent="0.3">
      <c r="A132" s="5"/>
      <c r="B132" s="124" t="s">
        <v>12</v>
      </c>
      <c r="C132" s="5"/>
      <c r="D132" s="5"/>
      <c r="E132" s="5"/>
      <c r="F132" s="5"/>
      <c r="G132" s="5"/>
      <c r="H132" s="5"/>
      <c r="I132" s="5"/>
      <c r="J132" s="5"/>
      <c r="K132" s="5"/>
      <c r="L132" s="16"/>
    </row>
    <row r="133" spans="1:12" ht="18" customHeight="1" x14ac:dyDescent="0.3">
      <c r="A133" s="5"/>
      <c r="B133" s="125"/>
      <c r="C133" s="8"/>
      <c r="D133" s="9"/>
      <c r="E133" s="115" t="s">
        <v>3</v>
      </c>
      <c r="F133" s="116"/>
      <c r="G133" s="117"/>
      <c r="H133" s="7" t="s">
        <v>4</v>
      </c>
      <c r="I133" s="115" t="s">
        <v>5</v>
      </c>
      <c r="J133" s="116"/>
      <c r="K133" s="117"/>
      <c r="L133" s="17" t="s">
        <v>4</v>
      </c>
    </row>
    <row r="134" spans="1:12" ht="5.15" customHeight="1" x14ac:dyDescent="0.3">
      <c r="A134" s="5"/>
      <c r="B134" s="125"/>
      <c r="C134" s="112"/>
      <c r="D134" s="5"/>
      <c r="E134" s="18"/>
      <c r="F134" s="18"/>
      <c r="G134" s="18"/>
      <c r="H134" s="12"/>
      <c r="I134" s="18"/>
      <c r="J134" s="18"/>
      <c r="K134" s="18"/>
      <c r="L134" s="16"/>
    </row>
    <row r="135" spans="1:12" ht="15.75" customHeight="1" x14ac:dyDescent="0.3">
      <c r="A135" s="5"/>
      <c r="B135" s="125"/>
      <c r="C135" s="113"/>
      <c r="D135" s="19" t="s">
        <v>21</v>
      </c>
      <c r="E135" s="18"/>
      <c r="F135" s="20">
        <v>10000</v>
      </c>
      <c r="G135" s="18"/>
      <c r="H135" s="13" t="s">
        <v>8</v>
      </c>
      <c r="I135" s="18"/>
      <c r="J135" s="21" t="s">
        <v>9</v>
      </c>
      <c r="K135" s="18"/>
      <c r="L135" s="22" t="s">
        <v>8</v>
      </c>
    </row>
    <row r="136" spans="1:12" ht="5.15" customHeight="1" x14ac:dyDescent="0.3">
      <c r="A136" s="5"/>
      <c r="B136" s="125"/>
      <c r="C136" s="114"/>
      <c r="D136" s="10"/>
      <c r="E136" s="11"/>
      <c r="F136" s="11"/>
      <c r="G136" s="11"/>
      <c r="H136" s="9"/>
      <c r="I136" s="11"/>
      <c r="J136" s="11"/>
      <c r="K136" s="11"/>
      <c r="L136" s="23"/>
    </row>
    <row r="137" spans="1:12" ht="5.15" customHeight="1" x14ac:dyDescent="0.3">
      <c r="A137" s="5"/>
      <c r="B137" s="125"/>
      <c r="C137" s="113"/>
      <c r="D137" s="5"/>
      <c r="E137" s="18"/>
      <c r="F137" s="18"/>
      <c r="G137" s="18"/>
      <c r="H137" s="14"/>
      <c r="I137" s="18"/>
      <c r="J137" s="18"/>
      <c r="K137" s="18"/>
      <c r="L137" s="16"/>
    </row>
    <row r="138" spans="1:12" ht="15.75" customHeight="1" x14ac:dyDescent="0.3">
      <c r="A138" s="5"/>
      <c r="B138" s="125"/>
      <c r="C138" s="113"/>
      <c r="D138" s="19" t="s">
        <v>22</v>
      </c>
      <c r="E138" s="18"/>
      <c r="F138" s="20">
        <v>10000</v>
      </c>
      <c r="G138" s="18"/>
      <c r="H138" s="13" t="s">
        <v>8</v>
      </c>
      <c r="I138" s="18"/>
      <c r="J138" s="21" t="s">
        <v>9</v>
      </c>
      <c r="K138" s="18"/>
      <c r="L138" s="22" t="s">
        <v>8</v>
      </c>
    </row>
    <row r="139" spans="1:12" ht="5.15" customHeight="1" thickBot="1" x14ac:dyDescent="0.35">
      <c r="A139" s="5"/>
      <c r="B139" s="132"/>
      <c r="C139" s="131"/>
      <c r="D139" s="28"/>
      <c r="E139" s="33"/>
      <c r="F139" s="33"/>
      <c r="G139" s="33"/>
      <c r="H139" s="32"/>
      <c r="I139" s="33"/>
      <c r="J139" s="33"/>
      <c r="K139" s="33"/>
      <c r="L139" s="29"/>
    </row>
    <row r="140" spans="1:12" ht="15" customHeight="1" x14ac:dyDescent="0.3">
      <c r="A140" s="5"/>
      <c r="B140" s="5"/>
      <c r="C140" s="5"/>
      <c r="D140" s="5"/>
      <c r="E140" s="5"/>
      <c r="F140" s="5"/>
      <c r="G140" s="5"/>
      <c r="H140" s="5"/>
      <c r="I140" s="5"/>
      <c r="J140" s="5"/>
      <c r="K140" s="5"/>
      <c r="L140" s="5"/>
    </row>
    <row r="141" spans="1:12" x14ac:dyDescent="0.3">
      <c r="A141" s="5"/>
      <c r="B141" s="5"/>
      <c r="C141" s="5"/>
      <c r="D141" s="5"/>
      <c r="E141" s="5"/>
      <c r="F141" s="5"/>
      <c r="G141" s="5"/>
      <c r="H141" s="5"/>
      <c r="I141" s="5"/>
      <c r="J141" s="5"/>
      <c r="K141" s="5"/>
      <c r="L141" s="5"/>
    </row>
    <row r="142" spans="1:12" ht="28.4" customHeight="1" x14ac:dyDescent="0.3">
      <c r="A142" s="5"/>
      <c r="B142" s="133" t="s">
        <v>23</v>
      </c>
      <c r="C142" s="134"/>
      <c r="D142" s="134"/>
      <c r="E142" s="134"/>
      <c r="F142" s="134"/>
      <c r="G142" s="134"/>
      <c r="H142" s="134"/>
      <c r="I142" s="134"/>
      <c r="J142" s="134"/>
      <c r="K142" s="134"/>
      <c r="L142" s="135"/>
    </row>
    <row r="143" spans="1:12" ht="18" customHeight="1" x14ac:dyDescent="0.3">
      <c r="A143" s="5"/>
      <c r="B143" s="127"/>
      <c r="C143" s="5"/>
      <c r="D143" s="5"/>
      <c r="E143" s="5"/>
      <c r="F143" s="5"/>
      <c r="G143" s="5"/>
      <c r="H143" s="5"/>
      <c r="I143" s="5"/>
      <c r="J143" s="5"/>
      <c r="K143" s="5"/>
      <c r="L143" s="14"/>
    </row>
    <row r="144" spans="1:12" ht="17.149999999999999" customHeight="1" x14ac:dyDescent="0.3">
      <c r="A144" s="5"/>
      <c r="B144" s="127"/>
      <c r="C144" s="8"/>
      <c r="D144" s="9"/>
      <c r="E144" s="115" t="s">
        <v>5</v>
      </c>
      <c r="F144" s="116"/>
      <c r="G144" s="117"/>
      <c r="H144" s="115" t="s">
        <v>4</v>
      </c>
      <c r="I144" s="116"/>
      <c r="J144" s="116"/>
      <c r="K144" s="116"/>
      <c r="L144" s="117"/>
    </row>
    <row r="145" spans="1:12" ht="5.15" customHeight="1" x14ac:dyDescent="0.3">
      <c r="A145" s="5"/>
      <c r="B145" s="127"/>
      <c r="C145" s="112"/>
      <c r="D145" s="5"/>
      <c r="E145" s="18"/>
      <c r="F145" s="18"/>
      <c r="G145" s="18"/>
      <c r="H145" s="5"/>
      <c r="I145" s="5"/>
      <c r="J145" s="5"/>
      <c r="K145" s="5"/>
      <c r="L145" s="14"/>
    </row>
    <row r="146" spans="1:12" ht="15.75" customHeight="1" x14ac:dyDescent="0.3">
      <c r="A146" s="5"/>
      <c r="B146" s="127"/>
      <c r="C146" s="113"/>
      <c r="D146" s="19" t="s">
        <v>7</v>
      </c>
      <c r="E146" s="18"/>
      <c r="F146" s="21" t="s">
        <v>9</v>
      </c>
      <c r="G146" s="18"/>
      <c r="H146" s="129" t="s">
        <v>8</v>
      </c>
      <c r="I146" s="129"/>
      <c r="J146" s="129"/>
      <c r="K146" s="129"/>
      <c r="L146" s="130"/>
    </row>
    <row r="147" spans="1:12" ht="5.15" customHeight="1" x14ac:dyDescent="0.3">
      <c r="A147" s="5"/>
      <c r="B147" s="127"/>
      <c r="C147" s="114"/>
      <c r="D147" s="10"/>
      <c r="E147" s="11"/>
      <c r="F147" s="11"/>
      <c r="G147" s="11"/>
      <c r="H147" s="10"/>
      <c r="I147" s="10"/>
      <c r="J147" s="10"/>
      <c r="K147" s="10"/>
      <c r="L147" s="9"/>
    </row>
    <row r="148" spans="1:12" ht="5.15" customHeight="1" x14ac:dyDescent="0.3">
      <c r="A148" s="5"/>
      <c r="B148" s="127"/>
      <c r="C148" s="113"/>
      <c r="D148" s="5"/>
      <c r="E148" s="18"/>
      <c r="F148" s="18"/>
      <c r="G148" s="18"/>
      <c r="H148" s="5"/>
      <c r="I148" s="5"/>
      <c r="J148" s="5"/>
      <c r="K148" s="5"/>
      <c r="L148" s="14"/>
    </row>
    <row r="149" spans="1:12" ht="15.75" customHeight="1" x14ac:dyDescent="0.3">
      <c r="A149" s="5"/>
      <c r="B149" s="127"/>
      <c r="C149" s="113"/>
      <c r="D149" s="19" t="s">
        <v>24</v>
      </c>
      <c r="E149" s="18"/>
      <c r="F149" s="18"/>
      <c r="G149" s="18"/>
      <c r="H149" s="5"/>
      <c r="I149" s="5"/>
      <c r="J149" s="5"/>
      <c r="K149" s="5"/>
      <c r="L149" s="14"/>
    </row>
    <row r="150" spans="1:12" ht="22" customHeight="1" x14ac:dyDescent="0.3">
      <c r="A150" s="5"/>
      <c r="B150" s="127"/>
      <c r="C150" s="15"/>
      <c r="D150" s="5"/>
      <c r="E150" s="5"/>
      <c r="F150" s="5"/>
      <c r="G150" s="5"/>
      <c r="H150" s="5"/>
      <c r="I150" s="5"/>
      <c r="J150" s="5"/>
      <c r="K150" s="5"/>
      <c r="L150" s="14"/>
    </row>
    <row r="151" spans="1:12" ht="5.15" customHeight="1" x14ac:dyDescent="0.3">
      <c r="A151" s="5"/>
      <c r="B151" s="128"/>
      <c r="C151" s="34"/>
      <c r="D151" s="10"/>
      <c r="E151" s="10"/>
      <c r="F151" s="10"/>
      <c r="G151" s="10"/>
      <c r="H151" s="10"/>
      <c r="I151" s="10"/>
      <c r="J151" s="10"/>
      <c r="K151" s="10"/>
      <c r="L151" s="9"/>
    </row>
    <row r="152" spans="1:12" x14ac:dyDescent="0.3">
      <c r="A152" s="5"/>
      <c r="B152" s="5"/>
      <c r="C152" s="5"/>
      <c r="D152" s="5"/>
      <c r="E152" s="5"/>
      <c r="F152" s="5"/>
      <c r="G152" s="5"/>
      <c r="H152" s="5"/>
      <c r="I152" s="5"/>
      <c r="J152" s="5"/>
      <c r="K152" s="5"/>
      <c r="L152" s="5"/>
    </row>
    <row r="153" spans="1:12" x14ac:dyDescent="0.3">
      <c r="A153" s="5"/>
      <c r="B153" s="5"/>
      <c r="C153" s="5"/>
      <c r="D153" s="5"/>
      <c r="E153" s="5"/>
      <c r="F153" s="5"/>
      <c r="G153" s="5"/>
      <c r="H153" s="5"/>
      <c r="I153" s="5"/>
      <c r="J153" s="5"/>
      <c r="K153" s="5"/>
      <c r="L153" s="5"/>
    </row>
    <row r="154" spans="1:12" ht="28.4" customHeight="1" x14ac:dyDescent="0.3">
      <c r="A154" s="5"/>
      <c r="B154" s="5"/>
      <c r="C154" s="5"/>
      <c r="D154" s="5"/>
      <c r="E154" s="5"/>
      <c r="F154" s="5"/>
      <c r="G154" s="5"/>
      <c r="H154" s="5"/>
      <c r="I154" s="5"/>
      <c r="J154" s="5"/>
      <c r="K154" s="5"/>
      <c r="L154" s="5"/>
    </row>
    <row r="155" spans="1:12" ht="28.4" customHeight="1" x14ac:dyDescent="0.3">
      <c r="A155" s="5"/>
      <c r="B155" s="5"/>
      <c r="C155" s="5"/>
      <c r="D155" s="5"/>
      <c r="E155" s="5"/>
      <c r="F155" s="5"/>
      <c r="G155" s="5"/>
      <c r="H155" s="5"/>
      <c r="I155" s="5"/>
      <c r="J155" s="5"/>
      <c r="K155" s="5"/>
      <c r="L155" s="5"/>
    </row>
    <row r="156" spans="1:12" ht="18" customHeight="1" x14ac:dyDescent="0.3">
      <c r="A156" s="5"/>
      <c r="B156" s="5"/>
      <c r="C156" s="5"/>
      <c r="D156" s="5"/>
      <c r="E156" s="5"/>
      <c r="F156" s="5"/>
      <c r="G156" s="5"/>
      <c r="H156" s="5"/>
      <c r="I156" s="5"/>
      <c r="J156" s="5"/>
      <c r="K156" s="5"/>
      <c r="L156" s="5"/>
    </row>
    <row r="157" spans="1:12" ht="17.149999999999999" customHeight="1" x14ac:dyDescent="0.3">
      <c r="A157" s="5"/>
      <c r="B157" s="5"/>
      <c r="C157" s="5"/>
      <c r="D157" s="5"/>
      <c r="E157" s="5"/>
      <c r="F157" s="5"/>
      <c r="G157" s="5"/>
      <c r="H157" s="5"/>
      <c r="I157" s="5"/>
      <c r="J157" s="5"/>
      <c r="K157" s="5"/>
      <c r="L157" s="5"/>
    </row>
    <row r="158" spans="1:12" ht="5.15" customHeight="1" x14ac:dyDescent="0.3">
      <c r="A158" s="5"/>
      <c r="B158" s="5"/>
      <c r="C158" s="5"/>
      <c r="D158" s="5"/>
      <c r="E158" s="5"/>
      <c r="F158" s="5"/>
      <c r="G158" s="5"/>
      <c r="H158" s="5"/>
      <c r="I158" s="5"/>
      <c r="J158" s="5"/>
      <c r="K158" s="5"/>
      <c r="L158" s="5"/>
    </row>
    <row r="159" spans="1:12" ht="15.75" customHeight="1" x14ac:dyDescent="0.3"/>
    <row r="160" spans="1:12" ht="5.15" customHeight="1" x14ac:dyDescent="0.3"/>
    <row r="161" ht="5.15" customHeight="1" x14ac:dyDescent="0.3"/>
    <row r="162" ht="15.75" customHeight="1" x14ac:dyDescent="0.3"/>
    <row r="163" ht="5.15" customHeight="1" x14ac:dyDescent="0.3"/>
  </sheetData>
  <sheetProtection algorithmName="SHA-512" hashValue="gzDsycpX7TOSEUgpDxZoVAnxVjHRMfz0f6jns5iHbZhXZOwjmb3pB9dsmfPIucblwZvr5BSGLjg9mshkp1qkjw==" saltValue="0rOYoHR4uvtIICqX/IVcxg==" spinCount="100000" sheet="1" objects="1" scenarios="1" formatCells="0" formatColumns="0" formatRows="0"/>
  <mergeCells count="59">
    <mergeCell ref="C16:C17"/>
    <mergeCell ref="E9:G9"/>
    <mergeCell ref="I9:K9"/>
    <mergeCell ref="B7:B27"/>
    <mergeCell ref="D16:D17"/>
    <mergeCell ref="B1:L1"/>
    <mergeCell ref="B5:L5"/>
    <mergeCell ref="B6:L6"/>
    <mergeCell ref="C10:C12"/>
    <mergeCell ref="C13:C15"/>
    <mergeCell ref="I30:K30"/>
    <mergeCell ref="B52:L52"/>
    <mergeCell ref="B53:L53"/>
    <mergeCell ref="C98:C100"/>
    <mergeCell ref="C101:C103"/>
    <mergeCell ref="B28:B48"/>
    <mergeCell ref="D37:D38"/>
    <mergeCell ref="C31:C33"/>
    <mergeCell ref="C34:C36"/>
    <mergeCell ref="C37:C38"/>
    <mergeCell ref="E30:G30"/>
    <mergeCell ref="I55:K55"/>
    <mergeCell ref="C104:C106"/>
    <mergeCell ref="E97:G97"/>
    <mergeCell ref="I97:K97"/>
    <mergeCell ref="B96:B119"/>
    <mergeCell ref="C56:C58"/>
    <mergeCell ref="B54:B95"/>
    <mergeCell ref="C107:C109"/>
    <mergeCell ref="C65:C67"/>
    <mergeCell ref="C68:C70"/>
    <mergeCell ref="C71:C72"/>
    <mergeCell ref="E55:G55"/>
    <mergeCell ref="C110:C112"/>
    <mergeCell ref="C113:C114"/>
    <mergeCell ref="B143:B151"/>
    <mergeCell ref="H146:L146"/>
    <mergeCell ref="C134:C136"/>
    <mergeCell ref="C137:C139"/>
    <mergeCell ref="E133:G133"/>
    <mergeCell ref="I133:K133"/>
    <mergeCell ref="B132:B139"/>
    <mergeCell ref="B142:L142"/>
    <mergeCell ref="Q7:Q19"/>
    <mergeCell ref="Q22:Q29"/>
    <mergeCell ref="Q33:Q39"/>
    <mergeCell ref="C145:C147"/>
    <mergeCell ref="C148:C149"/>
    <mergeCell ref="E144:G144"/>
    <mergeCell ref="H144:L144"/>
    <mergeCell ref="B122:L122"/>
    <mergeCell ref="B123:L123"/>
    <mergeCell ref="C126:C128"/>
    <mergeCell ref="C129:C131"/>
    <mergeCell ref="E125:G125"/>
    <mergeCell ref="I125:K125"/>
    <mergeCell ref="B124:B131"/>
    <mergeCell ref="C59:C61"/>
    <mergeCell ref="C62:C64"/>
  </mergeCells>
  <conditionalFormatting sqref="F86">
    <cfRule type="cellIs" dxfId="71" priority="1" operator="between">
      <formula>1</formula>
      <formula>-1</formula>
    </cfRule>
    <cfRule type="cellIs" dxfId="70" priority="2" operator="notBetween">
      <formula>1</formula>
      <formula>-1</formula>
    </cfRule>
  </conditionalFormatting>
  <pageMargins left="0.7" right="0.7" top="0.75" bottom="0.75" header="0.3" footer="0.3"/>
  <pageSetup orientation="portrait" r:id="rId1"/>
  <headerFooter>
    <oddFooter>&amp;C_x000D_&amp;1#&amp;"Calibri"&amp;10&amp;K000000 Restricted : General Al-Futtaim Group</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8193" r:id="rId6" name="cbApplyLevelFormatting">
          <controlPr defaultSize="0" autoFill="0" autoLine="0" autoPict="0" r:id="rId7">
            <anchor moveWithCells="1">
              <from>
                <xdr:col>7</xdr:col>
                <xdr:colOff>1485900</xdr:colOff>
                <xdr:row>4</xdr:row>
                <xdr:rowOff>69850</xdr:rowOff>
              </from>
              <to>
                <xdr:col>7</xdr:col>
                <xdr:colOff>1612900</xdr:colOff>
                <xdr:row>5</xdr:row>
                <xdr:rowOff>0</xdr:rowOff>
              </to>
            </anchor>
          </controlPr>
        </control>
      </mc:Choice>
      <mc:Fallback>
        <control shapeId="8193" r:id="rId6" name="cbApplyLevelFormatting"/>
      </mc:Fallback>
    </mc:AlternateContent>
    <mc:AlternateContent xmlns:mc="http://schemas.openxmlformats.org/markup-compatibility/2006">
      <mc:Choice Requires="x14">
        <control shapeId="8219" r:id="rId8" name="cbApplyMemberFormatting">
          <controlPr defaultSize="0" autoFill="0" autoLine="0" autoPict="0" r:id="rId7">
            <anchor moveWithCells="1">
              <from>
                <xdr:col>9</xdr:col>
                <xdr:colOff>476250</xdr:colOff>
                <xdr:row>51</xdr:row>
                <xdr:rowOff>69850</xdr:rowOff>
              </from>
              <to>
                <xdr:col>9</xdr:col>
                <xdr:colOff>609600</xdr:colOff>
                <xdr:row>52</xdr:row>
                <xdr:rowOff>0</xdr:rowOff>
              </to>
            </anchor>
          </controlPr>
        </control>
      </mc:Choice>
      <mc:Fallback>
        <control shapeId="8219" r:id="rId8" name="cbApplyMemberFormatting"/>
      </mc:Fallback>
    </mc:AlternateContent>
    <mc:AlternateContent xmlns:mc="http://schemas.openxmlformats.org/markup-compatibility/2006">
      <mc:Choice Requires="x14">
        <control shapeId="8237" r:id="rId9" name="cbApplyOddEvenFormatting">
          <controlPr defaultSize="0" autoFill="0" autoLine="0" autoPict="0" r:id="rId10">
            <anchor moveWithCells="1">
              <from>
                <xdr:col>7</xdr:col>
                <xdr:colOff>1676400</xdr:colOff>
                <xdr:row>121</xdr:row>
                <xdr:rowOff>69850</xdr:rowOff>
              </from>
              <to>
                <xdr:col>7</xdr:col>
                <xdr:colOff>1803400</xdr:colOff>
                <xdr:row>122</xdr:row>
                <xdr:rowOff>0</xdr:rowOff>
              </to>
            </anchor>
          </controlPr>
        </control>
      </mc:Choice>
      <mc:Fallback>
        <control shapeId="8237" r:id="rId9" name="cbApplyOddEvenFormatting"/>
      </mc:Fallback>
    </mc:AlternateContent>
    <mc:AlternateContent xmlns:mc="http://schemas.openxmlformats.org/markup-compatibility/2006">
      <mc:Choice Requires="x14">
        <control shapeId="8245" r:id="rId11" name="cbApplyPageHeaderFormatting">
          <controlPr defaultSize="0" autoFill="0" autoLine="0" autoPict="0" r:id="rId10">
            <anchor moveWithCells="1">
              <from>
                <xdr:col>7</xdr:col>
                <xdr:colOff>1524000</xdr:colOff>
                <xdr:row>141</xdr:row>
                <xdr:rowOff>69850</xdr:rowOff>
              </from>
              <to>
                <xdr:col>7</xdr:col>
                <xdr:colOff>1651000</xdr:colOff>
                <xdr:row>142</xdr:row>
                <xdr:rowOff>0</xdr:rowOff>
              </to>
            </anchor>
          </controlPr>
        </control>
      </mc:Choice>
      <mc:Fallback>
        <control shapeId="8245" r:id="rId11" name="cbApplyPageHeaderFormatting"/>
      </mc:Fallback>
    </mc:AlternateContent>
    <mc:AlternateContent xmlns:mc="http://schemas.openxmlformats.org/markup-compatibility/2006">
      <mc:Choice Requires="x14">
        <control shapeId="8194" r:id="rId12" name="Group Box 2">
          <controlPr defaultSize="0" autoPict="0">
            <anchor moveWithCells="1">
              <from>
                <xdr:col>1</xdr:col>
                <xdr:colOff>0</xdr:colOff>
                <xdr:row>5</xdr:row>
                <xdr:rowOff>0</xdr:rowOff>
              </from>
              <to>
                <xdr:col>3</xdr:col>
                <xdr:colOff>2800350</xdr:colOff>
                <xdr:row>6</xdr:row>
                <xdr:rowOff>0</xdr:rowOff>
              </to>
            </anchor>
          </controlPr>
        </control>
      </mc:Choice>
    </mc:AlternateContent>
    <mc:AlternateContent xmlns:mc="http://schemas.openxmlformats.org/markup-compatibility/2006">
      <mc:Choice Requires="x14">
        <control shapeId="8195" r:id="rId13" name="obLevelRowFirst">
          <controlPr defaultSize="0" autoFill="0" autoLine="0" autoPict="0" macro="_xll.FPMXLClient.TechnicalCategory.ButtonActionInEPMClientFormattingSheet">
            <anchor moveWithCells="1">
              <from>
                <xdr:col>3</xdr:col>
                <xdr:colOff>488950</xdr:colOff>
                <xdr:row>5</xdr:row>
                <xdr:rowOff>57150</xdr:rowOff>
              </from>
              <to>
                <xdr:col>3</xdr:col>
                <xdr:colOff>2609850</xdr:colOff>
                <xdr:row>5</xdr:row>
                <xdr:rowOff>279400</xdr:rowOff>
              </to>
            </anchor>
          </controlPr>
        </control>
      </mc:Choice>
    </mc:AlternateContent>
    <mc:AlternateContent xmlns:mc="http://schemas.openxmlformats.org/markup-compatibility/2006">
      <mc:Choice Requires="x14">
        <control shapeId="8196" r:id="rId14" name="obLevelColumnFirst">
          <controlPr defaultSize="0" autoFill="0" autoLine="0" autoPict="0" macro="_xll.FPMXLClient.TechnicalCategory.ButtonActionInEPMClientFormattingSheet">
            <anchor moveWithCells="1">
              <from>
                <xdr:col>1</xdr:col>
                <xdr:colOff>209550</xdr:colOff>
                <xdr:row>5</xdr:row>
                <xdr:rowOff>57150</xdr:rowOff>
              </from>
              <to>
                <xdr:col>3</xdr:col>
                <xdr:colOff>450850</xdr:colOff>
                <xdr:row>5</xdr:row>
                <xdr:rowOff>279400</xdr:rowOff>
              </to>
            </anchor>
          </controlPr>
        </control>
      </mc:Choice>
    </mc:AlternateContent>
    <mc:AlternateContent xmlns:mc="http://schemas.openxmlformats.org/markup-compatibility/2006">
      <mc:Choice Requires="x14">
        <control shapeId="8197" r:id="rId15" name="Group Box 5">
          <controlPr defaultSize="0" autoPict="0">
            <anchor moveWithCells="1">
              <from>
                <xdr:col>3</xdr:col>
                <xdr:colOff>2755900</xdr:colOff>
                <xdr:row>5</xdr:row>
                <xdr:rowOff>0</xdr:rowOff>
              </from>
              <to>
                <xdr:col>10</xdr:col>
                <xdr:colOff>171450</xdr:colOff>
                <xdr:row>6</xdr:row>
                <xdr:rowOff>0</xdr:rowOff>
              </to>
            </anchor>
          </controlPr>
        </control>
      </mc:Choice>
    </mc:AlternateContent>
    <mc:AlternateContent xmlns:mc="http://schemas.openxmlformats.org/markup-compatibility/2006">
      <mc:Choice Requires="x14">
        <control shapeId="8198" r:id="rId16" name="obRelativeLevelHierarchy">
          <controlPr defaultSize="0" autoFill="0" autoLine="0" autoPict="0" macro="_xll.FPMXLClient.TechnicalCategory.ButtonActionInEPMClientFormattingSheet">
            <anchor moveWithCells="1">
              <from>
                <xdr:col>3</xdr:col>
                <xdr:colOff>4229100</xdr:colOff>
                <xdr:row>5</xdr:row>
                <xdr:rowOff>57150</xdr:rowOff>
              </from>
              <to>
                <xdr:col>6</xdr:col>
                <xdr:colOff>171450</xdr:colOff>
                <xdr:row>5</xdr:row>
                <xdr:rowOff>279400</xdr:rowOff>
              </to>
            </anchor>
          </controlPr>
        </control>
      </mc:Choice>
    </mc:AlternateContent>
    <mc:AlternateContent xmlns:mc="http://schemas.openxmlformats.org/markup-compatibility/2006">
      <mc:Choice Requires="x14">
        <control shapeId="8199" r:id="rId17" name="obDatabaseLevelHierarchy">
          <controlPr defaultSize="0" autoFill="0" autoLine="0" autoPict="0" macro="_xll.FPMXLClient.TechnicalCategory.ButtonActionInEPMClientFormattingSheet">
            <anchor moveWithCells="1">
              <from>
                <xdr:col>3</xdr:col>
                <xdr:colOff>2774950</xdr:colOff>
                <xdr:row>5</xdr:row>
                <xdr:rowOff>57150</xdr:rowOff>
              </from>
              <to>
                <xdr:col>3</xdr:col>
                <xdr:colOff>4203700</xdr:colOff>
                <xdr:row>5</xdr:row>
                <xdr:rowOff>279400</xdr:rowOff>
              </to>
            </anchor>
          </controlPr>
        </control>
      </mc:Choice>
    </mc:AlternateContent>
    <mc:AlternateContent xmlns:mc="http://schemas.openxmlformats.org/markup-compatibility/2006">
      <mc:Choice Requires="x14">
        <control shapeId="8200" r:id="rId18" name="cbApplyLevelFromTopToBottom">
          <controlPr defaultSize="0" autoFill="0" autoLine="0" autoPict="0">
            <anchor moveWithCells="1">
              <from>
                <xdr:col>7</xdr:col>
                <xdr:colOff>19050</xdr:colOff>
                <xdr:row>5</xdr:row>
                <xdr:rowOff>0</xdr:rowOff>
              </from>
              <to>
                <xdr:col>11</xdr:col>
                <xdr:colOff>2419350</xdr:colOff>
                <xdr:row>5</xdr:row>
                <xdr:rowOff>323850</xdr:rowOff>
              </to>
            </anchor>
          </controlPr>
        </control>
      </mc:Choice>
    </mc:AlternateContent>
    <mc:AlternateContent xmlns:mc="http://schemas.openxmlformats.org/markup-compatibility/2006">
      <mc:Choice Requires="x14">
        <control shapeId="8201" r:id="rId19" name="LVL1tbFormattingByLevel">
          <controlPr defaultSize="0" autoFill="0" autoPict="0">
            <anchor moveWithCells="1" sizeWithCells="1">
              <from>
                <xdr:col>10</xdr:col>
                <xdr:colOff>19050</xdr:colOff>
                <xdr:row>6</xdr:row>
                <xdr:rowOff>133350</xdr:rowOff>
              </from>
              <to>
                <xdr:col>11</xdr:col>
                <xdr:colOff>1136650</xdr:colOff>
                <xdr:row>7</xdr:row>
                <xdr:rowOff>127000</xdr:rowOff>
              </to>
            </anchor>
          </controlPr>
        </control>
      </mc:Choice>
    </mc:AlternateContent>
    <mc:AlternateContent xmlns:mc="http://schemas.openxmlformats.org/markup-compatibility/2006">
      <mc:Choice Requires="x14">
        <control shapeId="8202" r:id="rId20" name="Group Box 10">
          <controlPr defaultSize="0" autoPict="0">
            <anchor moveWithCells="1">
              <from>
                <xdr:col>10</xdr:col>
                <xdr:colOff>209550</xdr:colOff>
                <xdr:row>6</xdr:row>
                <xdr:rowOff>0</xdr:rowOff>
              </from>
              <to>
                <xdr:col>12</xdr:col>
                <xdr:colOff>0</xdr:colOff>
                <xdr:row>8</xdr:row>
                <xdr:rowOff>0</xdr:rowOff>
              </to>
            </anchor>
          </controlPr>
        </control>
      </mc:Choice>
    </mc:AlternateContent>
    <mc:AlternateContent xmlns:mc="http://schemas.openxmlformats.org/markup-compatibility/2006">
      <mc:Choice Requires="x14">
        <control shapeId="8203" r:id="rId21" name="obLevelOuterFirst">
          <controlPr defaultSize="0" autoFill="0" autoLine="0" autoPict="0">
            <anchor moveWithCells="1">
              <from>
                <xdr:col>11</xdr:col>
                <xdr:colOff>908050</xdr:colOff>
                <xdr:row>6</xdr:row>
                <xdr:rowOff>228600</xdr:rowOff>
              </from>
              <to>
                <xdr:col>11</xdr:col>
                <xdr:colOff>2108200</xdr:colOff>
                <xdr:row>7</xdr:row>
                <xdr:rowOff>152400</xdr:rowOff>
              </to>
            </anchor>
          </controlPr>
        </control>
      </mc:Choice>
    </mc:AlternateContent>
    <mc:AlternateContent xmlns:mc="http://schemas.openxmlformats.org/markup-compatibility/2006">
      <mc:Choice Requires="x14">
        <control shapeId="8204" r:id="rId22" name="obLevelInnerFirst">
          <controlPr defaultSize="0" autoFill="0" autoLine="0" autoPict="0">
            <anchor moveWithCells="1">
              <from>
                <xdr:col>11</xdr:col>
                <xdr:colOff>908050</xdr:colOff>
                <xdr:row>6</xdr:row>
                <xdr:rowOff>19050</xdr:rowOff>
              </from>
              <to>
                <xdr:col>11</xdr:col>
                <xdr:colOff>2108200</xdr:colOff>
                <xdr:row>6</xdr:row>
                <xdr:rowOff>241300</xdr:rowOff>
              </to>
            </anchor>
          </controlPr>
        </control>
      </mc:Choice>
    </mc:AlternateContent>
    <mc:AlternateContent xmlns:mc="http://schemas.openxmlformats.org/markup-compatibility/2006">
      <mc:Choice Requires="x14">
        <control shapeId="8205" r:id="rId23" name="cbUseDefaultLevelFirst">
          <controlPr defaultSize="0" autoFill="0" autoLine="0" autoPict="0">
            <anchor moveWithCells="1">
              <from>
                <xdr:col>2</xdr:col>
                <xdr:colOff>127000</xdr:colOff>
                <xdr:row>8</xdr:row>
                <xdr:rowOff>203200</xdr:rowOff>
              </from>
              <to>
                <xdr:col>2</xdr:col>
                <xdr:colOff>1022350</xdr:colOff>
                <xdr:row>11</xdr:row>
                <xdr:rowOff>38100</xdr:rowOff>
              </to>
            </anchor>
          </controlPr>
        </control>
      </mc:Choice>
    </mc:AlternateContent>
    <mc:AlternateContent xmlns:mc="http://schemas.openxmlformats.org/markup-compatibility/2006">
      <mc:Choice Requires="x14">
        <control shapeId="8206" r:id="rId24" name="cbUseLeafLevelFirst">
          <controlPr defaultSize="0" autoFill="0" autoLine="0" autoPict="0">
            <anchor moveWithCells="1">
              <from>
                <xdr:col>2</xdr:col>
                <xdr:colOff>127000</xdr:colOff>
                <xdr:row>12</xdr:row>
                <xdr:rowOff>0</xdr:rowOff>
              </from>
              <to>
                <xdr:col>2</xdr:col>
                <xdr:colOff>1022350</xdr:colOff>
                <xdr:row>14</xdr:row>
                <xdr:rowOff>38100</xdr:rowOff>
              </to>
            </anchor>
          </controlPr>
        </control>
      </mc:Choice>
    </mc:AlternateContent>
    <mc:AlternateContent xmlns:mc="http://schemas.openxmlformats.org/markup-compatibility/2006">
      <mc:Choice Requires="x14">
        <control shapeId="8207" r:id="rId25" name="cbUseSpecificLevelFirst">
          <controlPr defaultSize="0" autoFill="0" autoLine="0" autoPict="0">
            <anchor moveWithCells="1">
              <from>
                <xdr:col>2</xdr:col>
                <xdr:colOff>127000</xdr:colOff>
                <xdr:row>15</xdr:row>
                <xdr:rowOff>38100</xdr:rowOff>
              </from>
              <to>
                <xdr:col>2</xdr:col>
                <xdr:colOff>1022350</xdr:colOff>
                <xdr:row>16</xdr:row>
                <xdr:rowOff>114300</xdr:rowOff>
              </to>
            </anchor>
          </controlPr>
        </control>
      </mc:Choice>
    </mc:AlternateContent>
    <mc:AlternateContent xmlns:mc="http://schemas.openxmlformats.org/markup-compatibility/2006">
      <mc:Choice Requires="x14">
        <control shapeId="8208" r:id="rId26" name="AddLevelFirst">
          <controlPr defaultSize="0" print="0" autoFill="0" autoPict="0" macro="_xll.FPMXLClient.TechnicalCategory.ButtonActionInEPMClientFormattingSheet">
            <anchor moveWithCells="1">
              <from>
                <xdr:col>3</xdr:col>
                <xdr:colOff>57150</xdr:colOff>
                <xdr:row>25</xdr:row>
                <xdr:rowOff>31750</xdr:rowOff>
              </from>
              <to>
                <xdr:col>3</xdr:col>
                <xdr:colOff>2133600</xdr:colOff>
                <xdr:row>26</xdr:row>
                <xdr:rowOff>12700</xdr:rowOff>
              </to>
            </anchor>
          </controlPr>
        </control>
      </mc:Choice>
    </mc:AlternateContent>
    <mc:AlternateContent xmlns:mc="http://schemas.openxmlformats.org/markup-compatibility/2006">
      <mc:Choice Requires="x14">
        <control shapeId="8209" r:id="rId27" name="RemoveLevelFirst">
          <controlPr defaultSize="0" print="0" autoFill="0" autoPict="0" macro="_xll.FPMXLClient.TechnicalCategory.ButtonActionInEPMClientFormattingSheet">
            <anchor moveWithCells="1">
              <from>
                <xdr:col>3</xdr:col>
                <xdr:colOff>2228850</xdr:colOff>
                <xdr:row>25</xdr:row>
                <xdr:rowOff>31750</xdr:rowOff>
              </from>
              <to>
                <xdr:col>3</xdr:col>
                <xdr:colOff>4298950</xdr:colOff>
                <xdr:row>26</xdr:row>
                <xdr:rowOff>12700</xdr:rowOff>
              </to>
            </anchor>
          </controlPr>
        </control>
      </mc:Choice>
    </mc:AlternateContent>
    <mc:AlternateContent xmlns:mc="http://schemas.openxmlformats.org/markup-compatibility/2006">
      <mc:Choice Requires="x14">
        <control shapeId="8210" r:id="rId28" name="LVL2tbFormattingByLevel">
          <controlPr defaultSize="0" autoFill="0" autoPict="0">
            <anchor moveWithCells="1" sizeWithCells="1">
              <from>
                <xdr:col>10</xdr:col>
                <xdr:colOff>19050</xdr:colOff>
                <xdr:row>27</xdr:row>
                <xdr:rowOff>146050</xdr:rowOff>
              </from>
              <to>
                <xdr:col>11</xdr:col>
                <xdr:colOff>1136650</xdr:colOff>
                <xdr:row>28</xdr:row>
                <xdr:rowOff>133350</xdr:rowOff>
              </to>
            </anchor>
          </controlPr>
        </control>
      </mc:Choice>
    </mc:AlternateContent>
    <mc:AlternateContent xmlns:mc="http://schemas.openxmlformats.org/markup-compatibility/2006">
      <mc:Choice Requires="x14">
        <control shapeId="8211" r:id="rId29" name="Group Box 19">
          <controlPr defaultSize="0" autoPict="0">
            <anchor moveWithCells="1">
              <from>
                <xdr:col>10</xdr:col>
                <xdr:colOff>209550</xdr:colOff>
                <xdr:row>6</xdr:row>
                <xdr:rowOff>0</xdr:rowOff>
              </from>
              <to>
                <xdr:col>12</xdr:col>
                <xdr:colOff>0</xdr:colOff>
                <xdr:row>8</xdr:row>
                <xdr:rowOff>0</xdr:rowOff>
              </to>
            </anchor>
          </controlPr>
        </control>
      </mc:Choice>
    </mc:AlternateContent>
    <mc:AlternateContent xmlns:mc="http://schemas.openxmlformats.org/markup-compatibility/2006">
      <mc:Choice Requires="x14">
        <control shapeId="8212" r:id="rId30" name="obLevelOuterSecond">
          <controlPr defaultSize="0" autoFill="0" autoLine="0" autoPict="0">
            <anchor moveWithCells="1">
              <from>
                <xdr:col>11</xdr:col>
                <xdr:colOff>908050</xdr:colOff>
                <xdr:row>27</xdr:row>
                <xdr:rowOff>228600</xdr:rowOff>
              </from>
              <to>
                <xdr:col>11</xdr:col>
                <xdr:colOff>2108200</xdr:colOff>
                <xdr:row>28</xdr:row>
                <xdr:rowOff>171450</xdr:rowOff>
              </to>
            </anchor>
          </controlPr>
        </control>
      </mc:Choice>
    </mc:AlternateContent>
    <mc:AlternateContent xmlns:mc="http://schemas.openxmlformats.org/markup-compatibility/2006">
      <mc:Choice Requires="x14">
        <control shapeId="8213" r:id="rId31" name="obLevelInnerSecond">
          <controlPr defaultSize="0" autoFill="0" autoLine="0" autoPict="0">
            <anchor moveWithCells="1">
              <from>
                <xdr:col>11</xdr:col>
                <xdr:colOff>908050</xdr:colOff>
                <xdr:row>27</xdr:row>
                <xdr:rowOff>38100</xdr:rowOff>
              </from>
              <to>
                <xdr:col>11</xdr:col>
                <xdr:colOff>2108200</xdr:colOff>
                <xdr:row>27</xdr:row>
                <xdr:rowOff>247650</xdr:rowOff>
              </to>
            </anchor>
          </controlPr>
        </control>
      </mc:Choice>
    </mc:AlternateContent>
    <mc:AlternateContent xmlns:mc="http://schemas.openxmlformats.org/markup-compatibility/2006">
      <mc:Choice Requires="x14">
        <control shapeId="8214" r:id="rId32" name="cbUseDefaultLevelSecond">
          <controlPr defaultSize="0" autoFill="0" autoLine="0" autoPict="0">
            <anchor moveWithCells="1">
              <from>
                <xdr:col>2</xdr:col>
                <xdr:colOff>127000</xdr:colOff>
                <xdr:row>30</xdr:row>
                <xdr:rowOff>0</xdr:rowOff>
              </from>
              <to>
                <xdr:col>2</xdr:col>
                <xdr:colOff>1022350</xdr:colOff>
                <xdr:row>32</xdr:row>
                <xdr:rowOff>38100</xdr:rowOff>
              </to>
            </anchor>
          </controlPr>
        </control>
      </mc:Choice>
    </mc:AlternateContent>
    <mc:AlternateContent xmlns:mc="http://schemas.openxmlformats.org/markup-compatibility/2006">
      <mc:Choice Requires="x14">
        <control shapeId="8215" r:id="rId33" name="cbUseLeafLevelSecond">
          <controlPr defaultSize="0" autoFill="0" autoLine="0" autoPict="0">
            <anchor moveWithCells="1">
              <from>
                <xdr:col>2</xdr:col>
                <xdr:colOff>127000</xdr:colOff>
                <xdr:row>33</xdr:row>
                <xdr:rowOff>0</xdr:rowOff>
              </from>
              <to>
                <xdr:col>2</xdr:col>
                <xdr:colOff>1022350</xdr:colOff>
                <xdr:row>35</xdr:row>
                <xdr:rowOff>38100</xdr:rowOff>
              </to>
            </anchor>
          </controlPr>
        </control>
      </mc:Choice>
    </mc:AlternateContent>
    <mc:AlternateContent xmlns:mc="http://schemas.openxmlformats.org/markup-compatibility/2006">
      <mc:Choice Requires="x14">
        <control shapeId="8216" r:id="rId34" name="cbUseSpecificLevelSecond">
          <controlPr defaultSize="0" autoFill="0" autoLine="0" autoPict="0">
            <anchor moveWithCells="1">
              <from>
                <xdr:col>2</xdr:col>
                <xdr:colOff>127000</xdr:colOff>
                <xdr:row>36</xdr:row>
                <xdr:rowOff>38100</xdr:rowOff>
              </from>
              <to>
                <xdr:col>2</xdr:col>
                <xdr:colOff>1022350</xdr:colOff>
                <xdr:row>37</xdr:row>
                <xdr:rowOff>114300</xdr:rowOff>
              </to>
            </anchor>
          </controlPr>
        </control>
      </mc:Choice>
    </mc:AlternateContent>
    <mc:AlternateContent xmlns:mc="http://schemas.openxmlformats.org/markup-compatibility/2006">
      <mc:Choice Requires="x14">
        <control shapeId="8217" r:id="rId35" name="AddLevelSecond">
          <controlPr defaultSize="0" print="0" autoFill="0" autoPict="0" macro="_xll.FPMXLClient.TechnicalCategory.ButtonActionInEPMClientFormattingSheet">
            <anchor moveWithCells="1">
              <from>
                <xdr:col>3</xdr:col>
                <xdr:colOff>57150</xdr:colOff>
                <xdr:row>46</xdr:row>
                <xdr:rowOff>19050</xdr:rowOff>
              </from>
              <to>
                <xdr:col>3</xdr:col>
                <xdr:colOff>2133600</xdr:colOff>
                <xdr:row>47</xdr:row>
                <xdr:rowOff>0</xdr:rowOff>
              </to>
            </anchor>
          </controlPr>
        </control>
      </mc:Choice>
    </mc:AlternateContent>
    <mc:AlternateContent xmlns:mc="http://schemas.openxmlformats.org/markup-compatibility/2006">
      <mc:Choice Requires="x14">
        <control shapeId="8218" r:id="rId36" name="RemoveLevelSecond">
          <controlPr defaultSize="0" print="0" autoFill="0" autoPict="0" macro="_xll.FPMXLClient.TechnicalCategory.ButtonActionInEPMClientFormattingSheet">
            <anchor moveWithCells="1">
              <from>
                <xdr:col>3</xdr:col>
                <xdr:colOff>2228850</xdr:colOff>
                <xdr:row>46</xdr:row>
                <xdr:rowOff>19050</xdr:rowOff>
              </from>
              <to>
                <xdr:col>3</xdr:col>
                <xdr:colOff>4298950</xdr:colOff>
                <xdr:row>47</xdr:row>
                <xdr:rowOff>0</xdr:rowOff>
              </to>
            </anchor>
          </controlPr>
        </control>
      </mc:Choice>
    </mc:AlternateContent>
    <mc:AlternateContent xmlns:mc="http://schemas.openxmlformats.org/markup-compatibility/2006">
      <mc:Choice Requires="x14">
        <control shapeId="8220" r:id="rId37" name="Group Box 28">
          <controlPr defaultSize="0" autoPict="0">
            <anchor moveWithCells="1">
              <from>
                <xdr:col>1</xdr:col>
                <xdr:colOff>0</xdr:colOff>
                <xdr:row>52</xdr:row>
                <xdr:rowOff>0</xdr:rowOff>
              </from>
              <to>
                <xdr:col>12</xdr:col>
                <xdr:colOff>0</xdr:colOff>
                <xdr:row>53</xdr:row>
                <xdr:rowOff>0</xdr:rowOff>
              </to>
            </anchor>
          </controlPr>
        </control>
      </mc:Choice>
    </mc:AlternateContent>
    <mc:AlternateContent xmlns:mc="http://schemas.openxmlformats.org/markup-compatibility/2006">
      <mc:Choice Requires="x14">
        <control shapeId="8221" r:id="rId38" name="obMemberRowFirst">
          <controlPr defaultSize="0" autoFill="0" autoLine="0" autoPict="0" macro="_xll.FPMXLClient.TechnicalCategory.ButtonActionInEPMClientFormattingSheet">
            <anchor moveWithCells="1">
              <from>
                <xdr:col>3</xdr:col>
                <xdr:colOff>488950</xdr:colOff>
                <xdr:row>52</xdr:row>
                <xdr:rowOff>57150</xdr:rowOff>
              </from>
              <to>
                <xdr:col>3</xdr:col>
                <xdr:colOff>2609850</xdr:colOff>
                <xdr:row>52</xdr:row>
                <xdr:rowOff>279400</xdr:rowOff>
              </to>
            </anchor>
          </controlPr>
        </control>
      </mc:Choice>
    </mc:AlternateContent>
    <mc:AlternateContent xmlns:mc="http://schemas.openxmlformats.org/markup-compatibility/2006">
      <mc:Choice Requires="x14">
        <control shapeId="8222" r:id="rId39" name="obMemberColumnFirst">
          <controlPr defaultSize="0" autoFill="0" autoLine="0" autoPict="0" macro="_xll.FPMXLClient.TechnicalCategory.ButtonActionInEPMClientFormattingSheet">
            <anchor moveWithCells="1">
              <from>
                <xdr:col>1</xdr:col>
                <xdr:colOff>209550</xdr:colOff>
                <xdr:row>52</xdr:row>
                <xdr:rowOff>57150</xdr:rowOff>
              </from>
              <to>
                <xdr:col>3</xdr:col>
                <xdr:colOff>450850</xdr:colOff>
                <xdr:row>52</xdr:row>
                <xdr:rowOff>279400</xdr:rowOff>
              </to>
            </anchor>
          </controlPr>
        </control>
      </mc:Choice>
    </mc:AlternateContent>
    <mc:AlternateContent xmlns:mc="http://schemas.openxmlformats.org/markup-compatibility/2006">
      <mc:Choice Requires="x14">
        <control shapeId="8223" r:id="rId40" name="cbApplyCustomMemberDefaultFirst">
          <controlPr defaultSize="0" autoFill="0" autoLine="0" autoPict="0">
            <anchor moveWithCells="1">
              <from>
                <xdr:col>2</xdr:col>
                <xdr:colOff>127000</xdr:colOff>
                <xdr:row>96</xdr:row>
                <xdr:rowOff>203200</xdr:rowOff>
              </from>
              <to>
                <xdr:col>2</xdr:col>
                <xdr:colOff>1022350</xdr:colOff>
                <xdr:row>99</xdr:row>
                <xdr:rowOff>38100</xdr:rowOff>
              </to>
            </anchor>
          </controlPr>
        </control>
      </mc:Choice>
    </mc:AlternateContent>
    <mc:AlternateContent xmlns:mc="http://schemas.openxmlformats.org/markup-compatibility/2006">
      <mc:Choice Requires="x14">
        <control shapeId="8224" r:id="rId41" name="cbApplyCalculatedMemberFirst">
          <controlPr defaultSize="0" autoFill="0" autoLine="0" autoPict="0">
            <anchor moveWithCells="1">
              <from>
                <xdr:col>2</xdr:col>
                <xdr:colOff>127000</xdr:colOff>
                <xdr:row>99</xdr:row>
                <xdr:rowOff>50800</xdr:rowOff>
              </from>
              <to>
                <xdr:col>2</xdr:col>
                <xdr:colOff>1022350</xdr:colOff>
                <xdr:row>102</xdr:row>
                <xdr:rowOff>38100</xdr:rowOff>
              </to>
            </anchor>
          </controlPr>
        </control>
      </mc:Choice>
    </mc:AlternateContent>
    <mc:AlternateContent xmlns:mc="http://schemas.openxmlformats.org/markup-compatibility/2006">
      <mc:Choice Requires="x14">
        <control shapeId="8225" r:id="rId42" name="cbApplyImputableMemberFirst">
          <controlPr defaultSize="0" autoFill="0" autoLine="0" autoPict="0">
            <anchor moveWithCells="1">
              <from>
                <xdr:col>2</xdr:col>
                <xdr:colOff>127000</xdr:colOff>
                <xdr:row>103</xdr:row>
                <xdr:rowOff>0</xdr:rowOff>
              </from>
              <to>
                <xdr:col>2</xdr:col>
                <xdr:colOff>1022350</xdr:colOff>
                <xdr:row>105</xdr:row>
                <xdr:rowOff>38100</xdr:rowOff>
              </to>
            </anchor>
          </controlPr>
        </control>
      </mc:Choice>
    </mc:AlternateContent>
    <mc:AlternateContent xmlns:mc="http://schemas.openxmlformats.org/markup-compatibility/2006">
      <mc:Choice Requires="x14">
        <control shapeId="8226" r:id="rId43" name="cbApplyLocalMemberFirst">
          <controlPr defaultSize="0" autoFill="0" autoLine="0" autoPict="0">
            <anchor moveWithCells="1">
              <from>
                <xdr:col>2</xdr:col>
                <xdr:colOff>127000</xdr:colOff>
                <xdr:row>106</xdr:row>
                <xdr:rowOff>0</xdr:rowOff>
              </from>
              <to>
                <xdr:col>2</xdr:col>
                <xdr:colOff>1022350</xdr:colOff>
                <xdr:row>108</xdr:row>
                <xdr:rowOff>38100</xdr:rowOff>
              </to>
            </anchor>
          </controlPr>
        </control>
      </mc:Choice>
    </mc:AlternateContent>
    <mc:AlternateContent xmlns:mc="http://schemas.openxmlformats.org/markup-compatibility/2006">
      <mc:Choice Requires="x14">
        <control shapeId="8227" r:id="rId44" name="cbApplyChangedMemberFirst">
          <controlPr defaultSize="0" autoFill="0" autoLine="0" autoPict="0">
            <anchor moveWithCells="1">
              <from>
                <xdr:col>2</xdr:col>
                <xdr:colOff>127000</xdr:colOff>
                <xdr:row>109</xdr:row>
                <xdr:rowOff>0</xdr:rowOff>
              </from>
              <to>
                <xdr:col>2</xdr:col>
                <xdr:colOff>1022350</xdr:colOff>
                <xdr:row>111</xdr:row>
                <xdr:rowOff>38100</xdr:rowOff>
              </to>
            </anchor>
          </controlPr>
        </control>
      </mc:Choice>
    </mc:AlternateContent>
    <mc:AlternateContent xmlns:mc="http://schemas.openxmlformats.org/markup-compatibility/2006">
      <mc:Choice Requires="x14">
        <control shapeId="8228" r:id="rId45" name="cbApplySpecificMemberFirst">
          <controlPr defaultSize="0" autoFill="0" autoLine="0" autoPict="0">
            <anchor moveWithCells="1">
              <from>
                <xdr:col>2</xdr:col>
                <xdr:colOff>127000</xdr:colOff>
                <xdr:row>112</xdr:row>
                <xdr:rowOff>50800</xdr:rowOff>
              </from>
              <to>
                <xdr:col>2</xdr:col>
                <xdr:colOff>1022350</xdr:colOff>
                <xdr:row>114</xdr:row>
                <xdr:rowOff>0</xdr:rowOff>
              </to>
            </anchor>
          </controlPr>
        </control>
      </mc:Choice>
    </mc:AlternateContent>
    <mc:AlternateContent xmlns:mc="http://schemas.openxmlformats.org/markup-compatibility/2006">
      <mc:Choice Requires="x14">
        <control shapeId="8229" r:id="rId46" name="AddMemberFirst">
          <controlPr defaultSize="0" print="0" autoFill="0" autoPict="0" macro="_xll.FPMXLClient.TechnicalCategory.ButtonActionInEPMClientFormattingSheet">
            <anchor moveWithCells="1">
              <from>
                <xdr:col>3</xdr:col>
                <xdr:colOff>57150</xdr:colOff>
                <xdr:row>117</xdr:row>
                <xdr:rowOff>19050</xdr:rowOff>
              </from>
              <to>
                <xdr:col>3</xdr:col>
                <xdr:colOff>4298950</xdr:colOff>
                <xdr:row>117</xdr:row>
                <xdr:rowOff>266700</xdr:rowOff>
              </to>
            </anchor>
          </controlPr>
        </control>
      </mc:Choice>
    </mc:AlternateContent>
    <mc:AlternateContent xmlns:mc="http://schemas.openxmlformats.org/markup-compatibility/2006">
      <mc:Choice Requires="x14">
        <control shapeId="8230" r:id="rId47" name="cbApplyCustomMemberDefaultSecond">
          <controlPr defaultSize="0" autoFill="0" autoLine="0" autoPict="0">
            <anchor moveWithCells="1">
              <from>
                <xdr:col>2</xdr:col>
                <xdr:colOff>127000</xdr:colOff>
                <xdr:row>55</xdr:row>
                <xdr:rowOff>0</xdr:rowOff>
              </from>
              <to>
                <xdr:col>2</xdr:col>
                <xdr:colOff>1022350</xdr:colOff>
                <xdr:row>57</xdr:row>
                <xdr:rowOff>38100</xdr:rowOff>
              </to>
            </anchor>
          </controlPr>
        </control>
      </mc:Choice>
    </mc:AlternateContent>
    <mc:AlternateContent xmlns:mc="http://schemas.openxmlformats.org/markup-compatibility/2006">
      <mc:Choice Requires="x14">
        <control shapeId="8231" r:id="rId48" name="cbApplyCalculatedMemberSecond">
          <controlPr defaultSize="0" autoFill="0" autoLine="0" autoPict="0">
            <anchor moveWithCells="1">
              <from>
                <xdr:col>2</xdr:col>
                <xdr:colOff>127000</xdr:colOff>
                <xdr:row>57</xdr:row>
                <xdr:rowOff>50800</xdr:rowOff>
              </from>
              <to>
                <xdr:col>2</xdr:col>
                <xdr:colOff>1022350</xdr:colOff>
                <xdr:row>60</xdr:row>
                <xdr:rowOff>50800</xdr:rowOff>
              </to>
            </anchor>
          </controlPr>
        </control>
      </mc:Choice>
    </mc:AlternateContent>
    <mc:AlternateContent xmlns:mc="http://schemas.openxmlformats.org/markup-compatibility/2006">
      <mc:Choice Requires="x14">
        <control shapeId="8232" r:id="rId49" name="cbApplyImputableMemberSecond">
          <controlPr defaultSize="0" autoFill="0" autoLine="0" autoPict="0">
            <anchor moveWithCells="1">
              <from>
                <xdr:col>2</xdr:col>
                <xdr:colOff>127000</xdr:colOff>
                <xdr:row>61</xdr:row>
                <xdr:rowOff>0</xdr:rowOff>
              </from>
              <to>
                <xdr:col>2</xdr:col>
                <xdr:colOff>1022350</xdr:colOff>
                <xdr:row>63</xdr:row>
                <xdr:rowOff>38100</xdr:rowOff>
              </to>
            </anchor>
          </controlPr>
        </control>
      </mc:Choice>
    </mc:AlternateContent>
    <mc:AlternateContent xmlns:mc="http://schemas.openxmlformats.org/markup-compatibility/2006">
      <mc:Choice Requires="x14">
        <control shapeId="8233" r:id="rId50" name="cbApplyLocalMemberSecond">
          <controlPr defaultSize="0" autoFill="0" autoLine="0" autoPict="0">
            <anchor moveWithCells="1">
              <from>
                <xdr:col>2</xdr:col>
                <xdr:colOff>127000</xdr:colOff>
                <xdr:row>64</xdr:row>
                <xdr:rowOff>0</xdr:rowOff>
              </from>
              <to>
                <xdr:col>2</xdr:col>
                <xdr:colOff>1022350</xdr:colOff>
                <xdr:row>66</xdr:row>
                <xdr:rowOff>38100</xdr:rowOff>
              </to>
            </anchor>
          </controlPr>
        </control>
      </mc:Choice>
    </mc:AlternateContent>
    <mc:AlternateContent xmlns:mc="http://schemas.openxmlformats.org/markup-compatibility/2006">
      <mc:Choice Requires="x14">
        <control shapeId="8234" r:id="rId51" name="cbApplyChangedMemberSecond">
          <controlPr defaultSize="0" autoFill="0" autoLine="0" autoPict="0">
            <anchor moveWithCells="1">
              <from>
                <xdr:col>2</xdr:col>
                <xdr:colOff>127000</xdr:colOff>
                <xdr:row>67</xdr:row>
                <xdr:rowOff>0</xdr:rowOff>
              </from>
              <to>
                <xdr:col>2</xdr:col>
                <xdr:colOff>1022350</xdr:colOff>
                <xdr:row>69</xdr:row>
                <xdr:rowOff>38100</xdr:rowOff>
              </to>
            </anchor>
          </controlPr>
        </control>
      </mc:Choice>
    </mc:AlternateContent>
    <mc:AlternateContent xmlns:mc="http://schemas.openxmlformats.org/markup-compatibility/2006">
      <mc:Choice Requires="x14">
        <control shapeId="8235" r:id="rId52" name="cbApplySpecificMemberSecond">
          <controlPr defaultSize="0" autoFill="0" autoLine="0" autoPict="0">
            <anchor moveWithCells="1">
              <from>
                <xdr:col>2</xdr:col>
                <xdr:colOff>127000</xdr:colOff>
                <xdr:row>70</xdr:row>
                <xdr:rowOff>50800</xdr:rowOff>
              </from>
              <to>
                <xdr:col>2</xdr:col>
                <xdr:colOff>1022350</xdr:colOff>
                <xdr:row>72</xdr:row>
                <xdr:rowOff>0</xdr:rowOff>
              </to>
            </anchor>
          </controlPr>
        </control>
      </mc:Choice>
    </mc:AlternateContent>
    <mc:AlternateContent xmlns:mc="http://schemas.openxmlformats.org/markup-compatibility/2006">
      <mc:Choice Requires="x14">
        <control shapeId="8236" r:id="rId53" name="AddMemberSecond">
          <controlPr defaultSize="0" print="0" autoFill="0" autoPict="0" macro="_xll.FPMXLClient.TechnicalCategory.ButtonActionInEPMClientFormattingSheet">
            <anchor moveWithCells="1">
              <from>
                <xdr:col>3</xdr:col>
                <xdr:colOff>57150</xdr:colOff>
                <xdr:row>93</xdr:row>
                <xdr:rowOff>19050</xdr:rowOff>
              </from>
              <to>
                <xdr:col>3</xdr:col>
                <xdr:colOff>4298950</xdr:colOff>
                <xdr:row>93</xdr:row>
                <xdr:rowOff>266700</xdr:rowOff>
              </to>
            </anchor>
          </controlPr>
        </control>
      </mc:Choice>
    </mc:AlternateContent>
    <mc:AlternateContent xmlns:mc="http://schemas.openxmlformats.org/markup-compatibility/2006">
      <mc:Choice Requires="x14">
        <control shapeId="8238" r:id="rId54" name="Group Box 46">
          <controlPr defaultSize="0" autoPict="0">
            <anchor moveWithCells="1">
              <from>
                <xdr:col>1</xdr:col>
                <xdr:colOff>0</xdr:colOff>
                <xdr:row>122</xdr:row>
                <xdr:rowOff>0</xdr:rowOff>
              </from>
              <to>
                <xdr:col>12</xdr:col>
                <xdr:colOff>0</xdr:colOff>
                <xdr:row>123</xdr:row>
                <xdr:rowOff>0</xdr:rowOff>
              </to>
            </anchor>
          </controlPr>
        </control>
      </mc:Choice>
    </mc:AlternateContent>
    <mc:AlternateContent xmlns:mc="http://schemas.openxmlformats.org/markup-compatibility/2006">
      <mc:Choice Requires="x14">
        <control shapeId="8239" r:id="rId55" name="obOddEvenRowFirst">
          <controlPr defaultSize="0" autoFill="0" autoLine="0" autoPict="0" macro="_xll.FPMXLClient.TechnicalCategory.ButtonActionInEPMClientFormattingSheet">
            <anchor moveWithCells="1">
              <from>
                <xdr:col>3</xdr:col>
                <xdr:colOff>488950</xdr:colOff>
                <xdr:row>122</xdr:row>
                <xdr:rowOff>69850</xdr:rowOff>
              </from>
              <to>
                <xdr:col>3</xdr:col>
                <xdr:colOff>2609850</xdr:colOff>
                <xdr:row>122</xdr:row>
                <xdr:rowOff>279400</xdr:rowOff>
              </to>
            </anchor>
          </controlPr>
        </control>
      </mc:Choice>
    </mc:AlternateContent>
    <mc:AlternateContent xmlns:mc="http://schemas.openxmlformats.org/markup-compatibility/2006">
      <mc:Choice Requires="x14">
        <control shapeId="8240" r:id="rId56" name="obOddEvenColumnFirst">
          <controlPr defaultSize="0" autoFill="0" autoLine="0" autoPict="0" macro="_xll.FPMXLClient.TechnicalCategory.ButtonActionInEPMClientFormattingSheet">
            <anchor moveWithCells="1">
              <from>
                <xdr:col>1</xdr:col>
                <xdr:colOff>209550</xdr:colOff>
                <xdr:row>122</xdr:row>
                <xdr:rowOff>69850</xdr:rowOff>
              </from>
              <to>
                <xdr:col>3</xdr:col>
                <xdr:colOff>450850</xdr:colOff>
                <xdr:row>122</xdr:row>
                <xdr:rowOff>279400</xdr:rowOff>
              </to>
            </anchor>
          </controlPr>
        </control>
      </mc:Choice>
    </mc:AlternateContent>
    <mc:AlternateContent xmlns:mc="http://schemas.openxmlformats.org/markup-compatibility/2006">
      <mc:Choice Requires="x14">
        <control shapeId="8241" r:id="rId57" name="cbUseOddFirst">
          <controlPr defaultSize="0" autoFill="0" autoLine="0" autoPict="0">
            <anchor moveWithCells="1">
              <from>
                <xdr:col>2</xdr:col>
                <xdr:colOff>127000</xdr:colOff>
                <xdr:row>125</xdr:row>
                <xdr:rowOff>0</xdr:rowOff>
              </from>
              <to>
                <xdr:col>2</xdr:col>
                <xdr:colOff>1022350</xdr:colOff>
                <xdr:row>127</xdr:row>
                <xdr:rowOff>38100</xdr:rowOff>
              </to>
            </anchor>
          </controlPr>
        </control>
      </mc:Choice>
    </mc:AlternateContent>
    <mc:AlternateContent xmlns:mc="http://schemas.openxmlformats.org/markup-compatibility/2006">
      <mc:Choice Requires="x14">
        <control shapeId="8242" r:id="rId58" name="cbUseEvenFirst">
          <controlPr defaultSize="0" autoFill="0" autoLine="0" autoPict="0">
            <anchor moveWithCells="1">
              <from>
                <xdr:col>2</xdr:col>
                <xdr:colOff>127000</xdr:colOff>
                <xdr:row>128</xdr:row>
                <xdr:rowOff>0</xdr:rowOff>
              </from>
              <to>
                <xdr:col>2</xdr:col>
                <xdr:colOff>1022350</xdr:colOff>
                <xdr:row>130</xdr:row>
                <xdr:rowOff>38100</xdr:rowOff>
              </to>
            </anchor>
          </controlPr>
        </control>
      </mc:Choice>
    </mc:AlternateContent>
    <mc:AlternateContent xmlns:mc="http://schemas.openxmlformats.org/markup-compatibility/2006">
      <mc:Choice Requires="x14">
        <control shapeId="8243" r:id="rId59" name="cbUseOddSecond">
          <controlPr defaultSize="0" autoFill="0" autoLine="0" autoPict="0">
            <anchor moveWithCells="1">
              <from>
                <xdr:col>2</xdr:col>
                <xdr:colOff>127000</xdr:colOff>
                <xdr:row>133</xdr:row>
                <xdr:rowOff>0</xdr:rowOff>
              </from>
              <to>
                <xdr:col>2</xdr:col>
                <xdr:colOff>1022350</xdr:colOff>
                <xdr:row>135</xdr:row>
                <xdr:rowOff>38100</xdr:rowOff>
              </to>
            </anchor>
          </controlPr>
        </control>
      </mc:Choice>
    </mc:AlternateContent>
    <mc:AlternateContent xmlns:mc="http://schemas.openxmlformats.org/markup-compatibility/2006">
      <mc:Choice Requires="x14">
        <control shapeId="8244" r:id="rId60" name="cbUseEvenSecond">
          <controlPr defaultSize="0" autoFill="0" autoLine="0" autoPict="0">
            <anchor moveWithCells="1">
              <from>
                <xdr:col>2</xdr:col>
                <xdr:colOff>127000</xdr:colOff>
                <xdr:row>135</xdr:row>
                <xdr:rowOff>50800</xdr:rowOff>
              </from>
              <to>
                <xdr:col>2</xdr:col>
                <xdr:colOff>1022350</xdr:colOff>
                <xdr:row>138</xdr:row>
                <xdr:rowOff>38100</xdr:rowOff>
              </to>
            </anchor>
          </controlPr>
        </control>
      </mc:Choice>
    </mc:AlternateContent>
    <mc:AlternateContent xmlns:mc="http://schemas.openxmlformats.org/markup-compatibility/2006">
      <mc:Choice Requires="x14">
        <control shapeId="8246" r:id="rId61" name="cbUseDefaultPageHeaderFormat">
          <controlPr defaultSize="0" autoFill="0" autoLine="0" autoPict="0">
            <anchor moveWithCells="1">
              <from>
                <xdr:col>2</xdr:col>
                <xdr:colOff>127000</xdr:colOff>
                <xdr:row>143</xdr:row>
                <xdr:rowOff>203200</xdr:rowOff>
              </from>
              <to>
                <xdr:col>2</xdr:col>
                <xdr:colOff>1022350</xdr:colOff>
                <xdr:row>146</xdr:row>
                <xdr:rowOff>38100</xdr:rowOff>
              </to>
            </anchor>
          </controlPr>
        </control>
      </mc:Choice>
    </mc:AlternateContent>
    <mc:AlternateContent xmlns:mc="http://schemas.openxmlformats.org/markup-compatibility/2006">
      <mc:Choice Requires="x14">
        <control shapeId="8247" r:id="rId62" name="cbUseDimensionFormatting">
          <controlPr defaultSize="0" autoFill="0" autoLine="0" autoPict="0">
            <anchor moveWithCells="1">
              <from>
                <xdr:col>2</xdr:col>
                <xdr:colOff>127000</xdr:colOff>
                <xdr:row>147</xdr:row>
                <xdr:rowOff>0</xdr:rowOff>
              </from>
              <to>
                <xdr:col>2</xdr:col>
                <xdr:colOff>1022350</xdr:colOff>
                <xdr:row>148</xdr:row>
                <xdr:rowOff>171450</xdr:rowOff>
              </to>
            </anchor>
          </controlPr>
        </control>
      </mc:Choice>
    </mc:AlternateContent>
    <mc:AlternateContent xmlns:mc="http://schemas.openxmlformats.org/markup-compatibility/2006">
      <mc:Choice Requires="x14">
        <control shapeId="8248" r:id="rId63" name="AddDimension">
          <controlPr defaultSize="0" print="0" autoFill="0" autoPict="0" macro="_xll.FPMXLClient.TechnicalCategory.ButtonActionInEPMClientFormattingSheet">
            <anchor moveWithCells="1">
              <from>
                <xdr:col>3</xdr:col>
                <xdr:colOff>57150</xdr:colOff>
                <xdr:row>149</xdr:row>
                <xdr:rowOff>19050</xdr:rowOff>
              </from>
              <to>
                <xdr:col>3</xdr:col>
                <xdr:colOff>4298950</xdr:colOff>
                <xdr:row>150</xdr:row>
                <xdr:rowOff>0</xdr:rowOff>
              </to>
            </anchor>
          </controlPr>
        </control>
      </mc:Choice>
    </mc:AlternateContent>
    <mc:AlternateContent xmlns:mc="http://schemas.openxmlformats.org/markup-compatibility/2006">
      <mc:Choice Requires="x14">
        <control shapeId="8250" r:id="rId64" name="AddedMember2_1">
          <controlPr defaultSize="0" print="0" autoFill="0" autoPict="0" macro="_xll.FPMXLClient.TechnicalCategory.ButtonActionInEPMClientFormattingSheet">
            <anchor moveWithCells="1">
              <from>
                <xdr:col>12</xdr:col>
                <xdr:colOff>0</xdr:colOff>
                <xdr:row>73</xdr:row>
                <xdr:rowOff>0</xdr:rowOff>
              </from>
              <to>
                <xdr:col>12</xdr:col>
                <xdr:colOff>685800</xdr:colOff>
                <xdr:row>74</xdr:row>
                <xdr:rowOff>0</xdr:rowOff>
              </to>
            </anchor>
          </controlPr>
        </control>
      </mc:Choice>
    </mc:AlternateContent>
    <mc:AlternateContent xmlns:mc="http://schemas.openxmlformats.org/markup-compatibility/2006">
      <mc:Choice Requires="x14">
        <control shapeId="8251" r:id="rId65" name="ChangeMember2_1">
          <controlPr defaultSize="0" print="0" autoFill="0" autoPict="0" macro="_xll.FPMXLClient.TechnicalCategory.ButtonActionInEPMClientFormattingSheet">
            <anchor moveWithCells="1">
              <from>
                <xdr:col>12</xdr:col>
                <xdr:colOff>704850</xdr:colOff>
                <xdr:row>73</xdr:row>
                <xdr:rowOff>0</xdr:rowOff>
              </from>
              <to>
                <xdr:col>13</xdr:col>
                <xdr:colOff>679450</xdr:colOff>
                <xdr:row>74</xdr:row>
                <xdr:rowOff>0</xdr:rowOff>
              </to>
            </anchor>
          </controlPr>
        </control>
      </mc:Choice>
    </mc:AlternateContent>
    <mc:AlternateContent xmlns:mc="http://schemas.openxmlformats.org/markup-compatibility/2006">
      <mc:Choice Requires="x14">
        <control shapeId="8252" r:id="rId66" name="UpMember2_1">
          <controlPr defaultSize="0" print="0" autoFill="0" autoPict="0" macro="_xll.FPMXLClient.TechnicalCategory.ButtonActionInEPMClientFormattingSheet">
            <anchor moveWithCells="1">
              <from>
                <xdr:col>14</xdr:col>
                <xdr:colOff>0</xdr:colOff>
                <xdr:row>73</xdr:row>
                <xdr:rowOff>0</xdr:rowOff>
              </from>
              <to>
                <xdr:col>14</xdr:col>
                <xdr:colOff>685800</xdr:colOff>
                <xdr:row>74</xdr:row>
                <xdr:rowOff>0</xdr:rowOff>
              </to>
            </anchor>
          </controlPr>
        </control>
      </mc:Choice>
    </mc:AlternateContent>
    <mc:AlternateContent xmlns:mc="http://schemas.openxmlformats.org/markup-compatibility/2006">
      <mc:Choice Requires="x14">
        <control shapeId="8253" r:id="rId67" name="DownMember2_1">
          <controlPr defaultSize="0" print="0" autoFill="0" autoPict="0" macro="_xll.FPMXLClient.TechnicalCategory.ButtonActionInEPMClientFormattingSheet">
            <anchor moveWithCells="1">
              <from>
                <xdr:col>15</xdr:col>
                <xdr:colOff>0</xdr:colOff>
                <xdr:row>73</xdr:row>
                <xdr:rowOff>0</xdr:rowOff>
              </from>
              <to>
                <xdr:col>15</xdr:col>
                <xdr:colOff>685800</xdr:colOff>
                <xdr:row>74</xdr:row>
                <xdr:rowOff>0</xdr:rowOff>
              </to>
            </anchor>
          </controlPr>
        </control>
      </mc:Choice>
    </mc:AlternateContent>
    <mc:AlternateContent xmlns:mc="http://schemas.openxmlformats.org/markup-compatibility/2006">
      <mc:Choice Requires="x14">
        <control shapeId="8255" r:id="rId68" name="AddedMember2_2">
          <controlPr defaultSize="0" print="0" autoFill="0" autoPict="0" macro="_xll.FPMXLClient.TechnicalCategory.ButtonActionInEPMClientFormattingSheet">
            <anchor moveWithCells="1">
              <from>
                <xdr:col>12</xdr:col>
                <xdr:colOff>0</xdr:colOff>
                <xdr:row>76</xdr:row>
                <xdr:rowOff>0</xdr:rowOff>
              </from>
              <to>
                <xdr:col>12</xdr:col>
                <xdr:colOff>685800</xdr:colOff>
                <xdr:row>77</xdr:row>
                <xdr:rowOff>0</xdr:rowOff>
              </to>
            </anchor>
          </controlPr>
        </control>
      </mc:Choice>
    </mc:AlternateContent>
    <mc:AlternateContent xmlns:mc="http://schemas.openxmlformats.org/markup-compatibility/2006">
      <mc:Choice Requires="x14">
        <control shapeId="8256" r:id="rId69" name="ChangeMember2_2">
          <controlPr defaultSize="0" print="0" autoFill="0" autoPict="0" macro="_xll.FPMXLClient.TechnicalCategory.ButtonActionInEPMClientFormattingSheet">
            <anchor moveWithCells="1">
              <from>
                <xdr:col>12</xdr:col>
                <xdr:colOff>704850</xdr:colOff>
                <xdr:row>76</xdr:row>
                <xdr:rowOff>0</xdr:rowOff>
              </from>
              <to>
                <xdr:col>13</xdr:col>
                <xdr:colOff>679450</xdr:colOff>
                <xdr:row>77</xdr:row>
                <xdr:rowOff>0</xdr:rowOff>
              </to>
            </anchor>
          </controlPr>
        </control>
      </mc:Choice>
    </mc:AlternateContent>
    <mc:AlternateContent xmlns:mc="http://schemas.openxmlformats.org/markup-compatibility/2006">
      <mc:Choice Requires="x14">
        <control shapeId="8257" r:id="rId70" name="UpMember2_2">
          <controlPr defaultSize="0" print="0" autoFill="0" autoPict="0" macro="_xll.FPMXLClient.TechnicalCategory.ButtonActionInEPMClientFormattingSheet">
            <anchor moveWithCells="1">
              <from>
                <xdr:col>14</xdr:col>
                <xdr:colOff>0</xdr:colOff>
                <xdr:row>76</xdr:row>
                <xdr:rowOff>0</xdr:rowOff>
              </from>
              <to>
                <xdr:col>14</xdr:col>
                <xdr:colOff>685800</xdr:colOff>
                <xdr:row>77</xdr:row>
                <xdr:rowOff>0</xdr:rowOff>
              </to>
            </anchor>
          </controlPr>
        </control>
      </mc:Choice>
    </mc:AlternateContent>
    <mc:AlternateContent xmlns:mc="http://schemas.openxmlformats.org/markup-compatibility/2006">
      <mc:Choice Requires="x14">
        <control shapeId="8258" r:id="rId71" name="DownMember2_2">
          <controlPr defaultSize="0" print="0" autoFill="0" autoPict="0" macro="_xll.FPMXLClient.TechnicalCategory.ButtonActionInEPMClientFormattingSheet">
            <anchor moveWithCells="1">
              <from>
                <xdr:col>15</xdr:col>
                <xdr:colOff>0</xdr:colOff>
                <xdr:row>76</xdr:row>
                <xdr:rowOff>0</xdr:rowOff>
              </from>
              <to>
                <xdr:col>15</xdr:col>
                <xdr:colOff>685800</xdr:colOff>
                <xdr:row>77</xdr:row>
                <xdr:rowOff>0</xdr:rowOff>
              </to>
            </anchor>
          </controlPr>
        </control>
      </mc:Choice>
    </mc:AlternateContent>
    <mc:AlternateContent xmlns:mc="http://schemas.openxmlformats.org/markup-compatibility/2006">
      <mc:Choice Requires="x14">
        <control shapeId="8260" r:id="rId72" name="AddedMember2_3">
          <controlPr defaultSize="0" print="0" autoFill="0" autoPict="0" macro="_xll.FPMXLClient.TechnicalCategory.ButtonActionInEPMClientFormattingSheet">
            <anchor moveWithCells="1">
              <from>
                <xdr:col>12</xdr:col>
                <xdr:colOff>0</xdr:colOff>
                <xdr:row>78</xdr:row>
                <xdr:rowOff>50800</xdr:rowOff>
              </from>
              <to>
                <xdr:col>12</xdr:col>
                <xdr:colOff>685800</xdr:colOff>
                <xdr:row>79</xdr:row>
                <xdr:rowOff>190500</xdr:rowOff>
              </to>
            </anchor>
          </controlPr>
        </control>
      </mc:Choice>
    </mc:AlternateContent>
    <mc:AlternateContent xmlns:mc="http://schemas.openxmlformats.org/markup-compatibility/2006">
      <mc:Choice Requires="x14">
        <control shapeId="8261" r:id="rId73" name="ChangeMember2_3">
          <controlPr defaultSize="0" print="0" autoFill="0" autoPict="0" macro="_xll.FPMXLClient.TechnicalCategory.ButtonActionInEPMClientFormattingSheet">
            <anchor moveWithCells="1">
              <from>
                <xdr:col>12</xdr:col>
                <xdr:colOff>704850</xdr:colOff>
                <xdr:row>78</xdr:row>
                <xdr:rowOff>50800</xdr:rowOff>
              </from>
              <to>
                <xdr:col>13</xdr:col>
                <xdr:colOff>679450</xdr:colOff>
                <xdr:row>79</xdr:row>
                <xdr:rowOff>190500</xdr:rowOff>
              </to>
            </anchor>
          </controlPr>
        </control>
      </mc:Choice>
    </mc:AlternateContent>
    <mc:AlternateContent xmlns:mc="http://schemas.openxmlformats.org/markup-compatibility/2006">
      <mc:Choice Requires="x14">
        <control shapeId="8262" r:id="rId74" name="UpMember2_3">
          <controlPr defaultSize="0" print="0" autoFill="0" autoPict="0" macro="_xll.FPMXLClient.TechnicalCategory.ButtonActionInEPMClientFormattingSheet">
            <anchor moveWithCells="1">
              <from>
                <xdr:col>14</xdr:col>
                <xdr:colOff>0</xdr:colOff>
                <xdr:row>78</xdr:row>
                <xdr:rowOff>50800</xdr:rowOff>
              </from>
              <to>
                <xdr:col>14</xdr:col>
                <xdr:colOff>685800</xdr:colOff>
                <xdr:row>79</xdr:row>
                <xdr:rowOff>190500</xdr:rowOff>
              </to>
            </anchor>
          </controlPr>
        </control>
      </mc:Choice>
    </mc:AlternateContent>
    <mc:AlternateContent xmlns:mc="http://schemas.openxmlformats.org/markup-compatibility/2006">
      <mc:Choice Requires="x14">
        <control shapeId="8263" r:id="rId75" name="DownMember2_3">
          <controlPr defaultSize="0" print="0" autoFill="0" autoPict="0" macro="_xll.FPMXLClient.TechnicalCategory.ButtonActionInEPMClientFormattingSheet">
            <anchor moveWithCells="1">
              <from>
                <xdr:col>15</xdr:col>
                <xdr:colOff>0</xdr:colOff>
                <xdr:row>78</xdr:row>
                <xdr:rowOff>50800</xdr:rowOff>
              </from>
              <to>
                <xdr:col>15</xdr:col>
                <xdr:colOff>685800</xdr:colOff>
                <xdr:row>79</xdr:row>
                <xdr:rowOff>190500</xdr:rowOff>
              </to>
            </anchor>
          </controlPr>
        </control>
      </mc:Choice>
    </mc:AlternateContent>
    <mc:AlternateContent xmlns:mc="http://schemas.openxmlformats.org/markup-compatibility/2006">
      <mc:Choice Requires="x14">
        <control shapeId="8265" r:id="rId76" name="AddedMember2_4">
          <controlPr defaultSize="0" print="0" autoFill="0" autoPict="0" macro="_xll.FPMXLClient.TechnicalCategory.ButtonActionInEPMClientFormattingSheet">
            <anchor moveWithCells="1">
              <from>
                <xdr:col>12</xdr:col>
                <xdr:colOff>0</xdr:colOff>
                <xdr:row>81</xdr:row>
                <xdr:rowOff>50800</xdr:rowOff>
              </from>
              <to>
                <xdr:col>12</xdr:col>
                <xdr:colOff>685800</xdr:colOff>
                <xdr:row>82</xdr:row>
                <xdr:rowOff>190500</xdr:rowOff>
              </to>
            </anchor>
          </controlPr>
        </control>
      </mc:Choice>
    </mc:AlternateContent>
    <mc:AlternateContent xmlns:mc="http://schemas.openxmlformats.org/markup-compatibility/2006">
      <mc:Choice Requires="x14">
        <control shapeId="8266" r:id="rId77" name="ChangeMember2_4">
          <controlPr defaultSize="0" print="0" autoFill="0" autoPict="0" macro="_xll.FPMXLClient.TechnicalCategory.ButtonActionInEPMClientFormattingSheet">
            <anchor moveWithCells="1">
              <from>
                <xdr:col>12</xdr:col>
                <xdr:colOff>704850</xdr:colOff>
                <xdr:row>81</xdr:row>
                <xdr:rowOff>50800</xdr:rowOff>
              </from>
              <to>
                <xdr:col>13</xdr:col>
                <xdr:colOff>679450</xdr:colOff>
                <xdr:row>82</xdr:row>
                <xdr:rowOff>190500</xdr:rowOff>
              </to>
            </anchor>
          </controlPr>
        </control>
      </mc:Choice>
    </mc:AlternateContent>
    <mc:AlternateContent xmlns:mc="http://schemas.openxmlformats.org/markup-compatibility/2006">
      <mc:Choice Requires="x14">
        <control shapeId="8267" r:id="rId78" name="UpMember2_4">
          <controlPr defaultSize="0" print="0" autoFill="0" autoPict="0" macro="_xll.FPMXLClient.TechnicalCategory.ButtonActionInEPMClientFormattingSheet">
            <anchor moveWithCells="1">
              <from>
                <xdr:col>14</xdr:col>
                <xdr:colOff>0</xdr:colOff>
                <xdr:row>81</xdr:row>
                <xdr:rowOff>50800</xdr:rowOff>
              </from>
              <to>
                <xdr:col>14</xdr:col>
                <xdr:colOff>685800</xdr:colOff>
                <xdr:row>82</xdr:row>
                <xdr:rowOff>190500</xdr:rowOff>
              </to>
            </anchor>
          </controlPr>
        </control>
      </mc:Choice>
    </mc:AlternateContent>
    <mc:AlternateContent xmlns:mc="http://schemas.openxmlformats.org/markup-compatibility/2006">
      <mc:Choice Requires="x14">
        <control shapeId="8268" r:id="rId79" name="DownMember2_4">
          <controlPr defaultSize="0" print="0" autoFill="0" autoPict="0" macro="_xll.FPMXLClient.TechnicalCategory.ButtonActionInEPMClientFormattingSheet">
            <anchor moveWithCells="1">
              <from>
                <xdr:col>15</xdr:col>
                <xdr:colOff>0</xdr:colOff>
                <xdr:row>81</xdr:row>
                <xdr:rowOff>50800</xdr:rowOff>
              </from>
              <to>
                <xdr:col>15</xdr:col>
                <xdr:colOff>685800</xdr:colOff>
                <xdr:row>82</xdr:row>
                <xdr:rowOff>190500</xdr:rowOff>
              </to>
            </anchor>
          </controlPr>
        </control>
      </mc:Choice>
    </mc:AlternateContent>
    <mc:AlternateContent xmlns:mc="http://schemas.openxmlformats.org/markup-compatibility/2006">
      <mc:Choice Requires="x14">
        <control shapeId="8270" r:id="rId80" name="AddedMember2_5">
          <controlPr defaultSize="0" print="0" autoFill="0" autoPict="0" macro="_xll.FPMXLClient.TechnicalCategory.ButtonActionInEPMClientFormattingSheet">
            <anchor moveWithCells="1">
              <from>
                <xdr:col>12</xdr:col>
                <xdr:colOff>0</xdr:colOff>
                <xdr:row>84</xdr:row>
                <xdr:rowOff>50800</xdr:rowOff>
              </from>
              <to>
                <xdr:col>12</xdr:col>
                <xdr:colOff>685800</xdr:colOff>
                <xdr:row>86</xdr:row>
                <xdr:rowOff>0</xdr:rowOff>
              </to>
            </anchor>
          </controlPr>
        </control>
      </mc:Choice>
    </mc:AlternateContent>
    <mc:AlternateContent xmlns:mc="http://schemas.openxmlformats.org/markup-compatibility/2006">
      <mc:Choice Requires="x14">
        <control shapeId="8271" r:id="rId81" name="ChangeMember2_5">
          <controlPr defaultSize="0" print="0" autoFill="0" autoPict="0" macro="_xll.FPMXLClient.TechnicalCategory.ButtonActionInEPMClientFormattingSheet">
            <anchor moveWithCells="1">
              <from>
                <xdr:col>12</xdr:col>
                <xdr:colOff>704850</xdr:colOff>
                <xdr:row>84</xdr:row>
                <xdr:rowOff>50800</xdr:rowOff>
              </from>
              <to>
                <xdr:col>13</xdr:col>
                <xdr:colOff>679450</xdr:colOff>
                <xdr:row>86</xdr:row>
                <xdr:rowOff>0</xdr:rowOff>
              </to>
            </anchor>
          </controlPr>
        </control>
      </mc:Choice>
    </mc:AlternateContent>
    <mc:AlternateContent xmlns:mc="http://schemas.openxmlformats.org/markup-compatibility/2006">
      <mc:Choice Requires="x14">
        <control shapeId="8272" r:id="rId82" name="UpMember2_5">
          <controlPr defaultSize="0" print="0" autoFill="0" autoPict="0" macro="_xll.FPMXLClient.TechnicalCategory.ButtonActionInEPMClientFormattingSheet">
            <anchor moveWithCells="1">
              <from>
                <xdr:col>14</xdr:col>
                <xdr:colOff>0</xdr:colOff>
                <xdr:row>84</xdr:row>
                <xdr:rowOff>50800</xdr:rowOff>
              </from>
              <to>
                <xdr:col>14</xdr:col>
                <xdr:colOff>685800</xdr:colOff>
                <xdr:row>86</xdr:row>
                <xdr:rowOff>0</xdr:rowOff>
              </to>
            </anchor>
          </controlPr>
        </control>
      </mc:Choice>
    </mc:AlternateContent>
    <mc:AlternateContent xmlns:mc="http://schemas.openxmlformats.org/markup-compatibility/2006">
      <mc:Choice Requires="x14">
        <control shapeId="8273" r:id="rId83" name="DownMember2_5">
          <controlPr defaultSize="0" print="0" autoFill="0" autoPict="0" macro="_xll.FPMXLClient.TechnicalCategory.ButtonActionInEPMClientFormattingSheet">
            <anchor moveWithCells="1">
              <from>
                <xdr:col>15</xdr:col>
                <xdr:colOff>0</xdr:colOff>
                <xdr:row>84</xdr:row>
                <xdr:rowOff>50800</xdr:rowOff>
              </from>
              <to>
                <xdr:col>15</xdr:col>
                <xdr:colOff>685800</xdr:colOff>
                <xdr:row>86</xdr:row>
                <xdr:rowOff>0</xdr:rowOff>
              </to>
            </anchor>
          </controlPr>
        </control>
      </mc:Choice>
    </mc:AlternateContent>
    <mc:AlternateContent xmlns:mc="http://schemas.openxmlformats.org/markup-compatibility/2006">
      <mc:Choice Requires="x14">
        <control shapeId="8275" r:id="rId84" name="AddedMember1_1">
          <controlPr defaultSize="0" print="0" autoFill="0" autoPict="0" macro="_xll.FPMXLClient.TechnicalCategory.ButtonActionInEPMClientFormattingSheet">
            <anchor moveWithCells="1">
              <from>
                <xdr:col>12</xdr:col>
                <xdr:colOff>0</xdr:colOff>
                <xdr:row>115</xdr:row>
                <xdr:rowOff>0</xdr:rowOff>
              </from>
              <to>
                <xdr:col>12</xdr:col>
                <xdr:colOff>685800</xdr:colOff>
                <xdr:row>116</xdr:row>
                <xdr:rowOff>0</xdr:rowOff>
              </to>
            </anchor>
          </controlPr>
        </control>
      </mc:Choice>
    </mc:AlternateContent>
    <mc:AlternateContent xmlns:mc="http://schemas.openxmlformats.org/markup-compatibility/2006">
      <mc:Choice Requires="x14">
        <control shapeId="8276" r:id="rId85" name="ChangeMember1_1">
          <controlPr defaultSize="0" print="0" autoFill="0" autoPict="0" macro="_xll.FPMXLClient.TechnicalCategory.ButtonActionInEPMClientFormattingSheet">
            <anchor moveWithCells="1">
              <from>
                <xdr:col>12</xdr:col>
                <xdr:colOff>704850</xdr:colOff>
                <xdr:row>115</xdr:row>
                <xdr:rowOff>0</xdr:rowOff>
              </from>
              <to>
                <xdr:col>13</xdr:col>
                <xdr:colOff>679450</xdr:colOff>
                <xdr:row>116</xdr:row>
                <xdr:rowOff>0</xdr:rowOff>
              </to>
            </anchor>
          </controlPr>
        </control>
      </mc:Choice>
    </mc:AlternateContent>
    <mc:AlternateContent xmlns:mc="http://schemas.openxmlformats.org/markup-compatibility/2006">
      <mc:Choice Requires="x14">
        <control shapeId="8277" r:id="rId86" name="UpMember1_1">
          <controlPr defaultSize="0" print="0" autoFill="0" autoPict="0" macro="_xll.FPMXLClient.TechnicalCategory.ButtonActionInEPMClientFormattingSheet">
            <anchor moveWithCells="1">
              <from>
                <xdr:col>14</xdr:col>
                <xdr:colOff>0</xdr:colOff>
                <xdr:row>115</xdr:row>
                <xdr:rowOff>0</xdr:rowOff>
              </from>
              <to>
                <xdr:col>14</xdr:col>
                <xdr:colOff>685800</xdr:colOff>
                <xdr:row>116</xdr:row>
                <xdr:rowOff>0</xdr:rowOff>
              </to>
            </anchor>
          </controlPr>
        </control>
      </mc:Choice>
    </mc:AlternateContent>
    <mc:AlternateContent xmlns:mc="http://schemas.openxmlformats.org/markup-compatibility/2006">
      <mc:Choice Requires="x14">
        <control shapeId="8278" r:id="rId87" name="DownMember1_1">
          <controlPr defaultSize="0" print="0" autoFill="0" autoPict="0" macro="_xll.FPMXLClient.TechnicalCategory.ButtonActionInEPMClientFormattingSheet">
            <anchor moveWithCells="1">
              <from>
                <xdr:col>15</xdr:col>
                <xdr:colOff>0</xdr:colOff>
                <xdr:row>115</xdr:row>
                <xdr:rowOff>0</xdr:rowOff>
              </from>
              <to>
                <xdr:col>15</xdr:col>
                <xdr:colOff>685800</xdr:colOff>
                <xdr:row>116</xdr:row>
                <xdr:rowOff>0</xdr:rowOff>
              </to>
            </anchor>
          </controlPr>
        </control>
      </mc:Choice>
    </mc:AlternateContent>
    <mc:AlternateContent xmlns:mc="http://schemas.openxmlformats.org/markup-compatibility/2006">
      <mc:Choice Requires="x14">
        <control shapeId="8282" r:id="rId88" name="AddedMember2_6">
          <controlPr defaultSize="0" print="0" autoFill="0" autoPict="0" macro="_xll.FPMXLClient.TechnicalCategory.ButtonActionInEPMClientFormattingSheet">
            <anchor moveWithCells="1">
              <from>
                <xdr:col>12</xdr:col>
                <xdr:colOff>0</xdr:colOff>
                <xdr:row>88</xdr:row>
                <xdr:rowOff>0</xdr:rowOff>
              </from>
              <to>
                <xdr:col>12</xdr:col>
                <xdr:colOff>685800</xdr:colOff>
                <xdr:row>89</xdr:row>
                <xdr:rowOff>0</xdr:rowOff>
              </to>
            </anchor>
          </controlPr>
        </control>
      </mc:Choice>
    </mc:AlternateContent>
    <mc:AlternateContent xmlns:mc="http://schemas.openxmlformats.org/markup-compatibility/2006">
      <mc:Choice Requires="x14">
        <control shapeId="8283" r:id="rId89" name="ChangeMember2_6">
          <controlPr defaultSize="0" print="0" autoFill="0" autoPict="0" macro="_xll.FPMXLClient.TechnicalCategory.ButtonActionInEPMClientFormattingSheet">
            <anchor moveWithCells="1">
              <from>
                <xdr:col>12</xdr:col>
                <xdr:colOff>704850</xdr:colOff>
                <xdr:row>88</xdr:row>
                <xdr:rowOff>0</xdr:rowOff>
              </from>
              <to>
                <xdr:col>13</xdr:col>
                <xdr:colOff>679450</xdr:colOff>
                <xdr:row>89</xdr:row>
                <xdr:rowOff>0</xdr:rowOff>
              </to>
            </anchor>
          </controlPr>
        </control>
      </mc:Choice>
    </mc:AlternateContent>
    <mc:AlternateContent xmlns:mc="http://schemas.openxmlformats.org/markup-compatibility/2006">
      <mc:Choice Requires="x14">
        <control shapeId="8284" r:id="rId90" name="UpMember2_6">
          <controlPr defaultSize="0" print="0" autoFill="0" autoPict="0" macro="_xll.FPMXLClient.TechnicalCategory.ButtonActionInEPMClientFormattingSheet">
            <anchor moveWithCells="1">
              <from>
                <xdr:col>14</xdr:col>
                <xdr:colOff>0</xdr:colOff>
                <xdr:row>88</xdr:row>
                <xdr:rowOff>0</xdr:rowOff>
              </from>
              <to>
                <xdr:col>14</xdr:col>
                <xdr:colOff>685800</xdr:colOff>
                <xdr:row>89</xdr:row>
                <xdr:rowOff>0</xdr:rowOff>
              </to>
            </anchor>
          </controlPr>
        </control>
      </mc:Choice>
    </mc:AlternateContent>
    <mc:AlternateContent xmlns:mc="http://schemas.openxmlformats.org/markup-compatibility/2006">
      <mc:Choice Requires="x14">
        <control shapeId="8285" r:id="rId91" name="DownMember2_6">
          <controlPr defaultSize="0" print="0" autoFill="0" autoPict="0" macro="_xll.FPMXLClient.TechnicalCategory.ButtonActionInEPMClientFormattingSheet">
            <anchor moveWithCells="1">
              <from>
                <xdr:col>15</xdr:col>
                <xdr:colOff>0</xdr:colOff>
                <xdr:row>88</xdr:row>
                <xdr:rowOff>0</xdr:rowOff>
              </from>
              <to>
                <xdr:col>15</xdr:col>
                <xdr:colOff>685800</xdr:colOff>
                <xdr:row>89</xdr:row>
                <xdr:rowOff>0</xdr:rowOff>
              </to>
            </anchor>
          </controlPr>
        </control>
      </mc:Choice>
    </mc:AlternateContent>
    <mc:AlternateContent xmlns:mc="http://schemas.openxmlformats.org/markup-compatibility/2006">
      <mc:Choice Requires="x14">
        <control shapeId="8287" r:id="rId92" name="AddedMember2_7">
          <controlPr defaultSize="0" print="0" autoFill="0" autoPict="0" macro="_xll.FPMXLClient.TechnicalCategory.ButtonActionInEPMClientFormattingSheet">
            <anchor moveWithCells="1">
              <from>
                <xdr:col>12</xdr:col>
                <xdr:colOff>0</xdr:colOff>
                <xdr:row>91</xdr:row>
                <xdr:rowOff>0</xdr:rowOff>
              </from>
              <to>
                <xdr:col>12</xdr:col>
                <xdr:colOff>685800</xdr:colOff>
                <xdr:row>92</xdr:row>
                <xdr:rowOff>0</xdr:rowOff>
              </to>
            </anchor>
          </controlPr>
        </control>
      </mc:Choice>
    </mc:AlternateContent>
    <mc:AlternateContent xmlns:mc="http://schemas.openxmlformats.org/markup-compatibility/2006">
      <mc:Choice Requires="x14">
        <control shapeId="8288" r:id="rId93" name="ChangeMember2_7">
          <controlPr defaultSize="0" print="0" autoFill="0" autoPict="0" macro="_xll.FPMXLClient.TechnicalCategory.ButtonActionInEPMClientFormattingSheet">
            <anchor moveWithCells="1">
              <from>
                <xdr:col>12</xdr:col>
                <xdr:colOff>704850</xdr:colOff>
                <xdr:row>91</xdr:row>
                <xdr:rowOff>0</xdr:rowOff>
              </from>
              <to>
                <xdr:col>13</xdr:col>
                <xdr:colOff>679450</xdr:colOff>
                <xdr:row>92</xdr:row>
                <xdr:rowOff>0</xdr:rowOff>
              </to>
            </anchor>
          </controlPr>
        </control>
      </mc:Choice>
    </mc:AlternateContent>
    <mc:AlternateContent xmlns:mc="http://schemas.openxmlformats.org/markup-compatibility/2006">
      <mc:Choice Requires="x14">
        <control shapeId="8289" r:id="rId94" name="UpMember2_7">
          <controlPr defaultSize="0" print="0" autoFill="0" autoPict="0" macro="_xll.FPMXLClient.TechnicalCategory.ButtonActionInEPMClientFormattingSheet">
            <anchor moveWithCells="1">
              <from>
                <xdr:col>14</xdr:col>
                <xdr:colOff>0</xdr:colOff>
                <xdr:row>91</xdr:row>
                <xdr:rowOff>0</xdr:rowOff>
              </from>
              <to>
                <xdr:col>14</xdr:col>
                <xdr:colOff>685800</xdr:colOff>
                <xdr:row>92</xdr:row>
                <xdr:rowOff>0</xdr:rowOff>
              </to>
            </anchor>
          </controlPr>
        </control>
      </mc:Choice>
    </mc:AlternateContent>
    <mc:AlternateContent xmlns:mc="http://schemas.openxmlformats.org/markup-compatibility/2006">
      <mc:Choice Requires="x14">
        <control shapeId="8290" r:id="rId95" name="DownMember2_7">
          <controlPr defaultSize="0" print="0" autoFill="0" autoPict="0" macro="_xll.FPMXLClient.TechnicalCategory.ButtonActionInEPMClientFormattingSheet">
            <anchor moveWithCells="1">
              <from>
                <xdr:col>15</xdr:col>
                <xdr:colOff>0</xdr:colOff>
                <xdr:row>91</xdr:row>
                <xdr:rowOff>0</xdr:rowOff>
              </from>
              <to>
                <xdr:col>15</xdr:col>
                <xdr:colOff>685800</xdr:colOff>
                <xdr:row>92</xdr:row>
                <xdr:rowOff>0</xdr:rowOff>
              </to>
            </anchor>
          </controlPr>
        </control>
      </mc:Choice>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0F4F-98BA-4C94-A898-C3F558A622CE}">
  <sheetPr codeName="Sheet9"/>
  <dimension ref="A1:AB142"/>
  <sheetViews>
    <sheetView showGridLines="0" topLeftCell="A63" zoomScale="85" zoomScaleNormal="85" workbookViewId="0">
      <selection activeCell="F95" sqref="F95"/>
    </sheetView>
  </sheetViews>
  <sheetFormatPr defaultColWidth="8.7265625" defaultRowHeight="14" x14ac:dyDescent="0.3"/>
  <cols>
    <col min="1" max="1" width="1.54296875" style="4" customWidth="1"/>
    <col min="2" max="2" width="12.54296875" style="4" customWidth="1"/>
    <col min="3" max="3" width="15.54296875" style="4" customWidth="1"/>
    <col min="4" max="4" width="64.54296875" style="4" customWidth="1"/>
    <col min="5" max="5" width="3.1796875" style="4" customWidth="1"/>
    <col min="6" max="6" width="14.1796875" style="4" customWidth="1"/>
    <col min="7" max="7" width="3.1796875" style="4" customWidth="1"/>
    <col min="8" max="8" width="30.54296875" style="4" customWidth="1"/>
    <col min="9" max="9" width="3.1796875" style="4" customWidth="1"/>
    <col min="10" max="10" width="14.1796875" style="4" customWidth="1"/>
    <col min="11" max="11" width="3.1796875" style="4" customWidth="1"/>
    <col min="12" max="12" width="36.54296875" style="4" customWidth="1"/>
    <col min="13" max="16" width="10.54296875" style="4" customWidth="1"/>
    <col min="17" max="17" width="90.54296875" style="4" customWidth="1"/>
    <col min="18" max="27" width="8.7265625" style="4"/>
    <col min="28" max="28" width="21.7265625" style="4" bestFit="1" customWidth="1"/>
    <col min="29" max="16384" width="8.7265625" style="4"/>
  </cols>
  <sheetData>
    <row r="1" spans="1:28" ht="42" customHeight="1" x14ac:dyDescent="0.3">
      <c r="A1" s="5"/>
      <c r="B1" s="138" t="s">
        <v>0</v>
      </c>
      <c r="C1" s="138"/>
      <c r="D1" s="138"/>
      <c r="E1" s="138"/>
      <c r="F1" s="138"/>
      <c r="G1" s="138"/>
      <c r="H1" s="138"/>
      <c r="I1" s="138"/>
      <c r="J1" s="138"/>
      <c r="K1" s="138"/>
      <c r="L1" s="138"/>
      <c r="AA1" s="3">
        <v>1</v>
      </c>
      <c r="AB1" s="3" t="b">
        <v>0</v>
      </c>
    </row>
    <row r="2" spans="1:28" ht="15.75" customHeight="1" x14ac:dyDescent="0.3">
      <c r="A2" s="41" t="s">
        <v>32</v>
      </c>
      <c r="B2" s="5"/>
      <c r="C2" s="5"/>
      <c r="D2" s="5"/>
      <c r="E2" s="5"/>
      <c r="F2" s="5"/>
      <c r="G2" s="5"/>
      <c r="H2" s="5"/>
      <c r="I2" s="5"/>
      <c r="J2" s="5"/>
      <c r="K2" s="5"/>
      <c r="L2" s="5"/>
    </row>
    <row r="3" spans="1:28" ht="15.75" customHeight="1" x14ac:dyDescent="0.3">
      <c r="A3" s="5"/>
      <c r="B3" s="6" t="s">
        <v>1</v>
      </c>
      <c r="C3" s="5"/>
      <c r="D3" s="5"/>
      <c r="E3" s="5"/>
      <c r="F3" s="5"/>
      <c r="G3" s="5"/>
      <c r="H3" s="5"/>
      <c r="I3" s="5"/>
      <c r="J3" s="5"/>
      <c r="K3" s="5"/>
      <c r="L3" s="5"/>
    </row>
    <row r="4" spans="1:28" ht="18" customHeight="1" thickBot="1" x14ac:dyDescent="0.35">
      <c r="A4" s="5"/>
      <c r="B4" s="5"/>
      <c r="C4" s="5"/>
      <c r="D4" s="5"/>
      <c r="E4" s="5"/>
      <c r="F4" s="5"/>
      <c r="G4" s="5"/>
      <c r="H4" s="5"/>
      <c r="I4" s="5"/>
      <c r="J4" s="5"/>
      <c r="K4" s="5"/>
      <c r="L4" s="5"/>
    </row>
    <row r="5" spans="1:28" ht="28.4" customHeight="1" x14ac:dyDescent="0.3">
      <c r="A5" s="5"/>
      <c r="B5" s="139" t="s">
        <v>2</v>
      </c>
      <c r="C5" s="140"/>
      <c r="D5" s="140"/>
      <c r="E5" s="140"/>
      <c r="F5" s="140"/>
      <c r="G5" s="140"/>
      <c r="H5" s="140"/>
      <c r="I5" s="140"/>
      <c r="J5" s="140"/>
      <c r="K5" s="140"/>
      <c r="L5" s="141"/>
      <c r="Q5" s="35" t="s">
        <v>25</v>
      </c>
    </row>
    <row r="6" spans="1:28" ht="28.4" customHeight="1" x14ac:dyDescent="0.3">
      <c r="A6" s="5"/>
      <c r="B6" s="142"/>
      <c r="C6" s="143"/>
      <c r="D6" s="143"/>
      <c r="E6" s="143"/>
      <c r="F6" s="143"/>
      <c r="G6" s="143"/>
      <c r="H6" s="143"/>
      <c r="I6" s="143"/>
      <c r="J6" s="143"/>
      <c r="K6" s="143"/>
      <c r="L6" s="144"/>
      <c r="Q6" s="36" t="s">
        <v>26</v>
      </c>
    </row>
    <row r="7" spans="1:28" ht="21.75" customHeight="1" x14ac:dyDescent="0.3">
      <c r="A7" s="5"/>
      <c r="B7" s="124" t="s">
        <v>6</v>
      </c>
      <c r="C7" s="5"/>
      <c r="D7" s="5"/>
      <c r="E7" s="5"/>
      <c r="F7" s="5"/>
      <c r="G7" s="5"/>
      <c r="H7" s="5"/>
      <c r="I7" s="5"/>
      <c r="J7" s="5"/>
      <c r="K7" s="5"/>
      <c r="L7" s="16"/>
      <c r="Q7" s="111" t="s">
        <v>28</v>
      </c>
    </row>
    <row r="8" spans="1:28" ht="18" customHeight="1" x14ac:dyDescent="0.3">
      <c r="A8" s="5"/>
      <c r="B8" s="125"/>
      <c r="C8" s="5"/>
      <c r="D8" s="5"/>
      <c r="E8" s="5"/>
      <c r="F8" s="5"/>
      <c r="G8" s="5"/>
      <c r="H8" s="5"/>
      <c r="I8" s="5"/>
      <c r="J8" s="5"/>
      <c r="K8" s="5"/>
      <c r="L8" s="16"/>
      <c r="Q8" s="111"/>
    </row>
    <row r="9" spans="1:28" ht="17.149999999999999" customHeight="1" x14ac:dyDescent="0.3">
      <c r="A9" s="5"/>
      <c r="B9" s="125"/>
      <c r="C9" s="8"/>
      <c r="D9" s="9"/>
      <c r="E9" s="115" t="s">
        <v>3</v>
      </c>
      <c r="F9" s="116"/>
      <c r="G9" s="117"/>
      <c r="H9" s="7" t="s">
        <v>4</v>
      </c>
      <c r="I9" s="115" t="s">
        <v>5</v>
      </c>
      <c r="J9" s="116"/>
      <c r="K9" s="117"/>
      <c r="L9" s="17" t="s">
        <v>4</v>
      </c>
      <c r="Q9" s="111"/>
    </row>
    <row r="10" spans="1:28" ht="5.15" customHeight="1" x14ac:dyDescent="0.3">
      <c r="A10" s="5"/>
      <c r="B10" s="125"/>
      <c r="C10" s="112"/>
      <c r="D10" s="5"/>
      <c r="E10" s="18"/>
      <c r="F10" s="18"/>
      <c r="G10" s="18"/>
      <c r="H10" s="12"/>
      <c r="I10" s="18"/>
      <c r="J10" s="18"/>
      <c r="K10" s="18"/>
      <c r="L10" s="16"/>
      <c r="Q10" s="111"/>
    </row>
    <row r="11" spans="1:28" ht="15.75" customHeight="1" x14ac:dyDescent="0.3">
      <c r="A11" s="5"/>
      <c r="B11" s="125"/>
      <c r="C11" s="113"/>
      <c r="D11" s="19" t="s">
        <v>7</v>
      </c>
      <c r="E11" s="18"/>
      <c r="F11" s="20">
        <v>10000</v>
      </c>
      <c r="G11" s="18"/>
      <c r="H11" s="13" t="s">
        <v>8</v>
      </c>
      <c r="I11" s="18"/>
      <c r="J11" s="43" t="s">
        <v>9</v>
      </c>
      <c r="K11" s="18"/>
      <c r="L11" s="22" t="s">
        <v>8</v>
      </c>
      <c r="Q11" s="111"/>
    </row>
    <row r="12" spans="1:28" ht="5.15" customHeight="1" x14ac:dyDescent="0.3">
      <c r="A12" s="5"/>
      <c r="B12" s="125"/>
      <c r="C12" s="114"/>
      <c r="D12" s="10"/>
      <c r="E12" s="11"/>
      <c r="F12" s="11"/>
      <c r="G12" s="11"/>
      <c r="H12" s="9"/>
      <c r="I12" s="11"/>
      <c r="J12" s="11"/>
      <c r="K12" s="11"/>
      <c r="L12" s="23"/>
      <c r="Q12" s="111"/>
    </row>
    <row r="13" spans="1:28" ht="5.15" customHeight="1" x14ac:dyDescent="0.3">
      <c r="A13" s="5"/>
      <c r="B13" s="125"/>
      <c r="C13" s="113"/>
      <c r="D13" s="5"/>
      <c r="E13" s="18"/>
      <c r="F13" s="18"/>
      <c r="G13" s="18"/>
      <c r="H13" s="14"/>
      <c r="I13" s="18"/>
      <c r="J13" s="18"/>
      <c r="K13" s="18"/>
      <c r="L13" s="16"/>
      <c r="Q13" s="111"/>
    </row>
    <row r="14" spans="1:28" ht="15.75" customHeight="1" x14ac:dyDescent="0.3">
      <c r="A14" s="5"/>
      <c r="B14" s="125"/>
      <c r="C14" s="113"/>
      <c r="D14" s="19" t="s">
        <v>10</v>
      </c>
      <c r="E14" s="18"/>
      <c r="F14" s="20">
        <v>10000</v>
      </c>
      <c r="G14" s="18"/>
      <c r="H14" s="13" t="s">
        <v>8</v>
      </c>
      <c r="I14" s="18"/>
      <c r="J14" s="21" t="s">
        <v>9</v>
      </c>
      <c r="K14" s="18"/>
      <c r="L14" s="22" t="s">
        <v>8</v>
      </c>
      <c r="Q14" s="111"/>
    </row>
    <row r="15" spans="1:28" ht="5.15" customHeight="1" x14ac:dyDescent="0.3">
      <c r="A15" s="5"/>
      <c r="B15" s="125"/>
      <c r="C15" s="114"/>
      <c r="D15" s="10"/>
      <c r="E15" s="11"/>
      <c r="F15" s="11"/>
      <c r="G15" s="11"/>
      <c r="H15" s="9"/>
      <c r="I15" s="11"/>
      <c r="J15" s="11"/>
      <c r="K15" s="11"/>
      <c r="L15" s="23"/>
      <c r="Q15" s="111"/>
    </row>
    <row r="16" spans="1:28" ht="11.15" customHeight="1" x14ac:dyDescent="0.3">
      <c r="A16" s="5"/>
      <c r="B16" s="125"/>
      <c r="C16" s="113"/>
      <c r="D16" s="137" t="s">
        <v>11</v>
      </c>
      <c r="E16" s="18"/>
      <c r="F16" s="18"/>
      <c r="G16" s="18"/>
      <c r="H16" s="14"/>
      <c r="I16" s="18"/>
      <c r="J16" s="18"/>
      <c r="K16" s="18"/>
      <c r="L16" s="16"/>
      <c r="Q16" s="111"/>
    </row>
    <row r="17" spans="1:17" ht="11.15" customHeight="1" x14ac:dyDescent="0.3">
      <c r="A17" s="5"/>
      <c r="B17" s="125"/>
      <c r="C17" s="113"/>
      <c r="D17" s="137"/>
      <c r="E17" s="18"/>
      <c r="F17" s="18"/>
      <c r="G17" s="18"/>
      <c r="H17" s="14"/>
      <c r="I17" s="18"/>
      <c r="J17" s="18"/>
      <c r="K17" s="18"/>
      <c r="L17" s="16"/>
      <c r="Q17" s="111"/>
    </row>
    <row r="18" spans="1:17" ht="15.75" customHeight="1" x14ac:dyDescent="0.3">
      <c r="A18" s="5"/>
      <c r="B18" s="125"/>
      <c r="C18" s="15"/>
      <c r="D18" s="24" t="str">
        <f>IF(AA1=2, "Level 1", IF(AB1=TRUE, IF(A26-1=0, "Lowest Level","Lowest Level -"&amp;(A26-1)), "Level 1"))</f>
        <v>Level 1</v>
      </c>
      <c r="E18" s="18"/>
      <c r="F18" s="20">
        <v>10000</v>
      </c>
      <c r="G18" s="18"/>
      <c r="H18" s="13" t="s">
        <v>8</v>
      </c>
      <c r="I18" s="18"/>
      <c r="J18" s="21" t="s">
        <v>9</v>
      </c>
      <c r="K18" s="18"/>
      <c r="L18" s="22" t="s">
        <v>8</v>
      </c>
      <c r="Q18" s="111"/>
    </row>
    <row r="19" spans="1:17" ht="5.15" customHeight="1" x14ac:dyDescent="0.3">
      <c r="A19" s="5"/>
      <c r="B19" s="125"/>
      <c r="C19" s="15"/>
      <c r="D19" s="10"/>
      <c r="E19" s="11"/>
      <c r="F19" s="11"/>
      <c r="G19" s="11"/>
      <c r="H19" s="9"/>
      <c r="I19" s="11"/>
      <c r="J19" s="11"/>
      <c r="K19" s="11"/>
      <c r="L19" s="23"/>
      <c r="Q19" s="111"/>
    </row>
    <row r="20" spans="1:17" ht="5.15" customHeight="1" x14ac:dyDescent="0.35">
      <c r="A20" s="5"/>
      <c r="B20" s="125"/>
      <c r="C20" s="15"/>
      <c r="D20" s="5"/>
      <c r="E20" s="18"/>
      <c r="F20" s="18"/>
      <c r="G20" s="18"/>
      <c r="H20" s="14"/>
      <c r="I20" s="18"/>
      <c r="J20" s="18"/>
      <c r="K20" s="18"/>
      <c r="L20" s="16"/>
      <c r="Q20" s="37"/>
    </row>
    <row r="21" spans="1:17" ht="15.75" customHeight="1" x14ac:dyDescent="0.3">
      <c r="A21" s="5"/>
      <c r="B21" s="125"/>
      <c r="C21" s="15"/>
      <c r="D21" s="25" t="str">
        <f>IF(AA1=2, "Level 2", IF(AB1=TRUE, IF(A26-2=0, "Lowest Level","Lowest Level -"&amp;(A26-2)), "Level 2"))</f>
        <v>Level 2</v>
      </c>
      <c r="E21" s="18"/>
      <c r="F21" s="20">
        <v>10000</v>
      </c>
      <c r="G21" s="18"/>
      <c r="H21" s="13" t="s">
        <v>8</v>
      </c>
      <c r="I21" s="18"/>
      <c r="J21" s="21" t="s">
        <v>9</v>
      </c>
      <c r="K21" s="18"/>
      <c r="L21" s="22" t="s">
        <v>8</v>
      </c>
      <c r="Q21" s="38" t="s">
        <v>29</v>
      </c>
    </row>
    <row r="22" spans="1:17" ht="5.15" customHeight="1" x14ac:dyDescent="0.3">
      <c r="A22" s="5"/>
      <c r="B22" s="125"/>
      <c r="C22" s="15"/>
      <c r="D22" s="10"/>
      <c r="E22" s="11"/>
      <c r="F22" s="11"/>
      <c r="G22" s="11"/>
      <c r="H22" s="9"/>
      <c r="I22" s="11"/>
      <c r="J22" s="11"/>
      <c r="K22" s="11"/>
      <c r="L22" s="23"/>
      <c r="Q22" s="111" t="s">
        <v>30</v>
      </c>
    </row>
    <row r="23" spans="1:17" ht="5.15" customHeight="1" x14ac:dyDescent="0.3">
      <c r="A23" s="5"/>
      <c r="B23" s="125"/>
      <c r="C23" s="15"/>
      <c r="D23" s="5"/>
      <c r="E23" s="18"/>
      <c r="F23" s="18"/>
      <c r="G23" s="18"/>
      <c r="H23" s="14"/>
      <c r="I23" s="18"/>
      <c r="J23" s="18"/>
      <c r="K23" s="18"/>
      <c r="L23" s="16"/>
      <c r="Q23" s="111"/>
    </row>
    <row r="24" spans="1:17" ht="15.75" customHeight="1" x14ac:dyDescent="0.3">
      <c r="A24" s="5"/>
      <c r="B24" s="125"/>
      <c r="C24" s="15"/>
      <c r="D24" s="26" t="str">
        <f>IF(AA1=2, "Level 3", IF(AB1=TRUE, IF(A26-3=0, "Lowest Level","Lowest Level -"&amp;(A26-3)), "Level 3"))</f>
        <v>Level 3</v>
      </c>
      <c r="E24" s="18"/>
      <c r="F24" s="20">
        <v>10000</v>
      </c>
      <c r="G24" s="18"/>
      <c r="H24" s="13" t="s">
        <v>8</v>
      </c>
      <c r="I24" s="18"/>
      <c r="J24" s="21" t="s">
        <v>9</v>
      </c>
      <c r="K24" s="18"/>
      <c r="L24" s="22" t="s">
        <v>8</v>
      </c>
      <c r="Q24" s="111"/>
    </row>
    <row r="25" spans="1:17" ht="5.15" customHeight="1" x14ac:dyDescent="0.3">
      <c r="A25" s="5"/>
      <c r="B25" s="125"/>
      <c r="C25" s="15"/>
      <c r="D25" s="10"/>
      <c r="E25" s="11"/>
      <c r="F25" s="11"/>
      <c r="G25" s="11"/>
      <c r="H25" s="9"/>
      <c r="I25" s="11"/>
      <c r="J25" s="11"/>
      <c r="K25" s="11"/>
      <c r="L25" s="23"/>
      <c r="Q25" s="111"/>
    </row>
    <row r="26" spans="1:17" ht="22" customHeight="1" x14ac:dyDescent="0.3">
      <c r="A26" s="5">
        <v>3</v>
      </c>
      <c r="B26" s="125"/>
      <c r="C26" s="15"/>
      <c r="D26" s="5"/>
      <c r="E26" s="5"/>
      <c r="F26" s="5"/>
      <c r="G26" s="5"/>
      <c r="H26" s="5"/>
      <c r="I26" s="5"/>
      <c r="J26" s="5"/>
      <c r="K26" s="5"/>
      <c r="L26" s="16"/>
      <c r="Q26" s="111"/>
    </row>
    <row r="27" spans="1:17" ht="5.15" customHeight="1" thickBot="1" x14ac:dyDescent="0.35">
      <c r="A27" s="5"/>
      <c r="B27" s="132"/>
      <c r="C27" s="27"/>
      <c r="D27" s="28"/>
      <c r="E27" s="28"/>
      <c r="F27" s="28"/>
      <c r="G27" s="28"/>
      <c r="H27" s="28"/>
      <c r="I27" s="28"/>
      <c r="J27" s="28"/>
      <c r="K27" s="28"/>
      <c r="L27" s="29"/>
      <c r="Q27" s="111"/>
    </row>
    <row r="28" spans="1:17" ht="21.75" customHeight="1" x14ac:dyDescent="0.3">
      <c r="A28" s="5"/>
      <c r="B28" s="136" t="s">
        <v>12</v>
      </c>
      <c r="C28" s="30"/>
      <c r="D28" s="30"/>
      <c r="E28" s="30"/>
      <c r="F28" s="30"/>
      <c r="G28" s="30"/>
      <c r="H28" s="30"/>
      <c r="I28" s="30"/>
      <c r="J28" s="30"/>
      <c r="K28" s="30"/>
      <c r="L28" s="31"/>
      <c r="Q28" s="111"/>
    </row>
    <row r="29" spans="1:17" ht="18" customHeight="1" x14ac:dyDescent="0.3">
      <c r="A29" s="5"/>
      <c r="B29" s="125"/>
      <c r="C29" s="5"/>
      <c r="D29" s="5"/>
      <c r="E29" s="5"/>
      <c r="F29" s="5"/>
      <c r="G29" s="5"/>
      <c r="H29" s="5"/>
      <c r="I29" s="5"/>
      <c r="J29" s="5"/>
      <c r="K29" s="5"/>
      <c r="L29" s="16"/>
      <c r="Q29" s="111"/>
    </row>
    <row r="30" spans="1:17" ht="17.149999999999999" customHeight="1" x14ac:dyDescent="0.35">
      <c r="A30" s="5"/>
      <c r="B30" s="125"/>
      <c r="C30" s="8"/>
      <c r="D30" s="9"/>
      <c r="E30" s="115" t="s">
        <v>3</v>
      </c>
      <c r="F30" s="116"/>
      <c r="G30" s="117"/>
      <c r="H30" s="7" t="s">
        <v>4</v>
      </c>
      <c r="I30" s="115" t="s">
        <v>5</v>
      </c>
      <c r="J30" s="116"/>
      <c r="K30" s="117"/>
      <c r="L30" s="17" t="s">
        <v>4</v>
      </c>
      <c r="Q30" s="37"/>
    </row>
    <row r="31" spans="1:17" ht="5.15" customHeight="1" x14ac:dyDescent="0.35">
      <c r="A31" s="5"/>
      <c r="B31" s="125"/>
      <c r="C31" s="112"/>
      <c r="D31" s="5"/>
      <c r="E31" s="18"/>
      <c r="F31" s="18"/>
      <c r="G31" s="18"/>
      <c r="H31" s="12"/>
      <c r="I31" s="18"/>
      <c r="J31" s="18"/>
      <c r="K31" s="18"/>
      <c r="L31" s="16"/>
      <c r="Q31" s="37"/>
    </row>
    <row r="32" spans="1:17" ht="15.75" customHeight="1" x14ac:dyDescent="0.3">
      <c r="A32" s="5"/>
      <c r="B32" s="125"/>
      <c r="C32" s="113"/>
      <c r="D32" s="19" t="s">
        <v>7</v>
      </c>
      <c r="E32" s="18"/>
      <c r="F32" s="42">
        <v>10000</v>
      </c>
      <c r="G32" s="18"/>
      <c r="H32" s="13" t="s">
        <v>8</v>
      </c>
      <c r="I32" s="18"/>
      <c r="J32" s="44" t="s">
        <v>9</v>
      </c>
      <c r="K32" s="18"/>
      <c r="L32" s="22" t="s">
        <v>8</v>
      </c>
      <c r="Q32" s="39" t="s">
        <v>27</v>
      </c>
    </row>
    <row r="33" spans="1:17" ht="5.15" customHeight="1" x14ac:dyDescent="0.3">
      <c r="A33" s="5"/>
      <c r="B33" s="125"/>
      <c r="C33" s="114"/>
      <c r="D33" s="10"/>
      <c r="E33" s="11"/>
      <c r="F33" s="11"/>
      <c r="G33" s="11"/>
      <c r="H33" s="9"/>
      <c r="I33" s="11"/>
      <c r="J33" s="11"/>
      <c r="K33" s="11"/>
      <c r="L33" s="23"/>
      <c r="Q33" s="111" t="s">
        <v>31</v>
      </c>
    </row>
    <row r="34" spans="1:17" ht="5.15" customHeight="1" x14ac:dyDescent="0.3">
      <c r="A34" s="5"/>
      <c r="B34" s="125"/>
      <c r="C34" s="113"/>
      <c r="D34" s="5"/>
      <c r="E34" s="18"/>
      <c r="F34" s="18"/>
      <c r="G34" s="18"/>
      <c r="H34" s="14"/>
      <c r="I34" s="18"/>
      <c r="J34" s="18"/>
      <c r="K34" s="18"/>
      <c r="L34" s="16"/>
      <c r="Q34" s="111"/>
    </row>
    <row r="35" spans="1:17" ht="15.75" customHeight="1" x14ac:dyDescent="0.3">
      <c r="A35" s="5"/>
      <c r="B35" s="125"/>
      <c r="C35" s="113"/>
      <c r="D35" s="19" t="s">
        <v>10</v>
      </c>
      <c r="E35" s="18"/>
      <c r="F35" s="20">
        <v>10000</v>
      </c>
      <c r="G35" s="18"/>
      <c r="H35" s="13" t="s">
        <v>8</v>
      </c>
      <c r="I35" s="18"/>
      <c r="J35" s="21" t="s">
        <v>9</v>
      </c>
      <c r="K35" s="18"/>
      <c r="L35" s="22" t="s">
        <v>8</v>
      </c>
      <c r="Q35" s="111"/>
    </row>
    <row r="36" spans="1:17" ht="5.15" customHeight="1" x14ac:dyDescent="0.3">
      <c r="A36" s="5"/>
      <c r="B36" s="125"/>
      <c r="C36" s="114"/>
      <c r="D36" s="10"/>
      <c r="E36" s="11"/>
      <c r="F36" s="11"/>
      <c r="G36" s="11"/>
      <c r="H36" s="9"/>
      <c r="I36" s="11"/>
      <c r="J36" s="11"/>
      <c r="K36" s="11"/>
      <c r="L36" s="23"/>
      <c r="Q36" s="111"/>
    </row>
    <row r="37" spans="1:17" ht="11.15" customHeight="1" x14ac:dyDescent="0.3">
      <c r="A37" s="5"/>
      <c r="B37" s="125"/>
      <c r="C37" s="113"/>
      <c r="D37" s="137" t="s">
        <v>11</v>
      </c>
      <c r="E37" s="18"/>
      <c r="F37" s="18"/>
      <c r="G37" s="18"/>
      <c r="H37" s="14"/>
      <c r="I37" s="18"/>
      <c r="J37" s="18"/>
      <c r="K37" s="18"/>
      <c r="L37" s="16"/>
      <c r="Q37" s="111"/>
    </row>
    <row r="38" spans="1:17" ht="11.15" customHeight="1" x14ac:dyDescent="0.3">
      <c r="A38" s="5"/>
      <c r="B38" s="125"/>
      <c r="C38" s="113"/>
      <c r="D38" s="137"/>
      <c r="E38" s="18"/>
      <c r="F38" s="18"/>
      <c r="G38" s="18"/>
      <c r="H38" s="14"/>
      <c r="I38" s="18"/>
      <c r="J38" s="18"/>
      <c r="K38" s="18"/>
      <c r="L38" s="16"/>
      <c r="Q38" s="111"/>
    </row>
    <row r="39" spans="1:17" ht="15.75" customHeight="1" x14ac:dyDescent="0.3">
      <c r="A39" s="5"/>
      <c r="B39" s="125"/>
      <c r="C39" s="15"/>
      <c r="D39" s="24" t="str">
        <f>IF(AA1=2, "Level 1", IF(AB1=TRUE, IF(A47-1=0, "Lowest Level","Lowest Level -"&amp;(A47-1)), "Level 1"))</f>
        <v>Level 1</v>
      </c>
      <c r="E39" s="18"/>
      <c r="F39" s="20">
        <v>10000</v>
      </c>
      <c r="G39" s="18"/>
      <c r="H39" s="13" t="s">
        <v>8</v>
      </c>
      <c r="I39" s="18"/>
      <c r="J39" s="21" t="s">
        <v>9</v>
      </c>
      <c r="K39" s="18"/>
      <c r="L39" s="22" t="s">
        <v>8</v>
      </c>
      <c r="Q39" s="111"/>
    </row>
    <row r="40" spans="1:17" ht="5.15" customHeight="1" x14ac:dyDescent="0.35">
      <c r="A40" s="5"/>
      <c r="B40" s="125"/>
      <c r="C40" s="15"/>
      <c r="D40" s="10"/>
      <c r="E40" s="11"/>
      <c r="F40" s="11"/>
      <c r="G40" s="11"/>
      <c r="H40" s="9"/>
      <c r="I40" s="11"/>
      <c r="J40" s="11"/>
      <c r="K40" s="11"/>
      <c r="L40" s="23"/>
      <c r="Q40" s="40"/>
    </row>
    <row r="41" spans="1:17" ht="5.15" customHeight="1" x14ac:dyDescent="0.3">
      <c r="A41" s="5"/>
      <c r="B41" s="125"/>
      <c r="C41" s="15"/>
      <c r="D41" s="5"/>
      <c r="E41" s="18"/>
      <c r="F41" s="18"/>
      <c r="G41" s="18"/>
      <c r="H41" s="14"/>
      <c r="I41" s="18"/>
      <c r="J41" s="18"/>
      <c r="K41" s="18"/>
      <c r="L41" s="16"/>
    </row>
    <row r="42" spans="1:17" ht="15.75" customHeight="1" x14ac:dyDescent="0.3">
      <c r="A42" s="5"/>
      <c r="B42" s="125"/>
      <c r="C42" s="15"/>
      <c r="D42" s="25" t="str">
        <f>IF(AA1=2, "Level 2", IF(AB1=TRUE, IF(A47-2=0, "Lowest Level","Lowest Level -"&amp;(A47-2)), "Level 2"))</f>
        <v>Level 2</v>
      </c>
      <c r="E42" s="18"/>
      <c r="F42" s="20">
        <v>10000</v>
      </c>
      <c r="G42" s="18"/>
      <c r="H42" s="13" t="s">
        <v>8</v>
      </c>
      <c r="I42" s="18"/>
      <c r="J42" s="21" t="s">
        <v>9</v>
      </c>
      <c r="K42" s="18"/>
      <c r="L42" s="22" t="s">
        <v>8</v>
      </c>
    </row>
    <row r="43" spans="1:17" ht="5.15" customHeight="1" x14ac:dyDescent="0.3">
      <c r="A43" s="5"/>
      <c r="B43" s="125"/>
      <c r="C43" s="15"/>
      <c r="D43" s="10"/>
      <c r="E43" s="11"/>
      <c r="F43" s="11"/>
      <c r="G43" s="11"/>
      <c r="H43" s="9"/>
      <c r="I43" s="11"/>
      <c r="J43" s="11"/>
      <c r="K43" s="11"/>
      <c r="L43" s="23"/>
    </row>
    <row r="44" spans="1:17" ht="5.15" customHeight="1" x14ac:dyDescent="0.3">
      <c r="A44" s="5"/>
      <c r="B44" s="125"/>
      <c r="C44" s="15"/>
      <c r="D44" s="5"/>
      <c r="E44" s="18"/>
      <c r="F44" s="18"/>
      <c r="G44" s="18"/>
      <c r="H44" s="14"/>
      <c r="I44" s="18"/>
      <c r="J44" s="18"/>
      <c r="K44" s="18"/>
      <c r="L44" s="16"/>
    </row>
    <row r="45" spans="1:17" ht="15.75" customHeight="1" x14ac:dyDescent="0.3">
      <c r="A45" s="5"/>
      <c r="B45" s="125"/>
      <c r="C45" s="15"/>
      <c r="D45" s="26" t="str">
        <f>IF(AA1=2, "Level 3", IF(AB1=TRUE, IF(A47-3=0, "Lowest Level","Lowest Level -"&amp;(A47-3)), "Level 3"))</f>
        <v>Level 3</v>
      </c>
      <c r="E45" s="18"/>
      <c r="F45" s="20">
        <v>10000</v>
      </c>
      <c r="G45" s="18"/>
      <c r="H45" s="13" t="s">
        <v>8</v>
      </c>
      <c r="I45" s="18"/>
      <c r="J45" s="21" t="s">
        <v>9</v>
      </c>
      <c r="K45" s="18"/>
      <c r="L45" s="22" t="s">
        <v>8</v>
      </c>
    </row>
    <row r="46" spans="1:17" ht="5.15" customHeight="1" x14ac:dyDescent="0.3">
      <c r="A46" s="5"/>
      <c r="B46" s="125"/>
      <c r="C46" s="15"/>
      <c r="D46" s="10"/>
      <c r="E46" s="11"/>
      <c r="F46" s="11"/>
      <c r="G46" s="11"/>
      <c r="H46" s="9"/>
      <c r="I46" s="11"/>
      <c r="J46" s="11"/>
      <c r="K46" s="11"/>
      <c r="L46" s="23"/>
    </row>
    <row r="47" spans="1:17" ht="22" customHeight="1" x14ac:dyDescent="0.3">
      <c r="A47" s="5">
        <v>3</v>
      </c>
      <c r="B47" s="125"/>
      <c r="C47" s="15"/>
      <c r="D47" s="5"/>
      <c r="E47" s="5"/>
      <c r="F47" s="5"/>
      <c r="G47" s="5"/>
      <c r="H47" s="5"/>
      <c r="I47" s="5"/>
      <c r="J47" s="5"/>
      <c r="K47" s="5"/>
      <c r="L47" s="16"/>
    </row>
    <row r="48" spans="1:17" ht="5.15" customHeight="1" thickBot="1" x14ac:dyDescent="0.35">
      <c r="A48" s="5"/>
      <c r="B48" s="132"/>
      <c r="C48" s="27"/>
      <c r="D48" s="28"/>
      <c r="E48" s="28"/>
      <c r="F48" s="28"/>
      <c r="G48" s="28"/>
      <c r="H48" s="28"/>
      <c r="I48" s="28"/>
      <c r="J48" s="28"/>
      <c r="K48" s="28"/>
      <c r="L48" s="29"/>
    </row>
    <row r="49" spans="1:12" ht="9" customHeight="1" x14ac:dyDescent="0.3">
      <c r="A49" s="5"/>
      <c r="B49" s="5"/>
      <c r="C49" s="5"/>
      <c r="D49" s="5"/>
      <c r="E49" s="5"/>
      <c r="F49" s="5"/>
      <c r="G49" s="5"/>
      <c r="H49" s="5"/>
      <c r="I49" s="5"/>
      <c r="J49" s="5"/>
      <c r="K49" s="5"/>
      <c r="L49" s="5"/>
    </row>
    <row r="50" spans="1:12" ht="24.65" customHeight="1" x14ac:dyDescent="0.3">
      <c r="A50" s="5"/>
      <c r="B50" s="5"/>
      <c r="C50" s="5"/>
      <c r="D50" s="5"/>
      <c r="E50" s="5"/>
      <c r="F50" s="5"/>
      <c r="G50" s="5"/>
      <c r="H50" s="5"/>
      <c r="I50" s="5"/>
      <c r="J50" s="5"/>
      <c r="K50" s="5"/>
      <c r="L50" s="5"/>
    </row>
    <row r="51" spans="1:12" ht="15" customHeight="1" thickBot="1" x14ac:dyDescent="0.35">
      <c r="A51" s="5"/>
      <c r="B51" s="5"/>
      <c r="C51" s="5"/>
      <c r="D51" s="5"/>
      <c r="E51" s="5"/>
      <c r="F51" s="5"/>
      <c r="G51" s="5"/>
      <c r="H51" s="5"/>
      <c r="I51" s="5"/>
      <c r="J51" s="5"/>
      <c r="K51" s="5"/>
      <c r="L51" s="5"/>
    </row>
    <row r="52" spans="1:12" ht="28.4" customHeight="1" x14ac:dyDescent="0.3">
      <c r="A52" s="5"/>
      <c r="B52" s="118" t="s">
        <v>13</v>
      </c>
      <c r="C52" s="119"/>
      <c r="D52" s="119"/>
      <c r="E52" s="119"/>
      <c r="F52" s="119"/>
      <c r="G52" s="119"/>
      <c r="H52" s="119"/>
      <c r="I52" s="119"/>
      <c r="J52" s="119"/>
      <c r="K52" s="119"/>
      <c r="L52" s="120"/>
    </row>
    <row r="53" spans="1:12" ht="28.4" customHeight="1" x14ac:dyDescent="0.3">
      <c r="A53" s="5"/>
      <c r="B53" s="121"/>
      <c r="C53" s="122"/>
      <c r="D53" s="122"/>
      <c r="E53" s="122"/>
      <c r="F53" s="122"/>
      <c r="G53" s="122"/>
      <c r="H53" s="122"/>
      <c r="I53" s="122"/>
      <c r="J53" s="122"/>
      <c r="K53" s="122"/>
      <c r="L53" s="123"/>
    </row>
    <row r="54" spans="1:12" ht="18" customHeight="1" x14ac:dyDescent="0.3">
      <c r="A54" s="5"/>
      <c r="B54" s="124" t="s">
        <v>6</v>
      </c>
      <c r="C54" s="5"/>
      <c r="D54" s="5"/>
      <c r="E54" s="5"/>
      <c r="F54" s="5"/>
      <c r="G54" s="5"/>
      <c r="H54" s="5"/>
      <c r="I54" s="5"/>
      <c r="J54" s="5"/>
      <c r="K54" s="5"/>
      <c r="L54" s="16"/>
    </row>
    <row r="55" spans="1:12" ht="17.149999999999999" customHeight="1" x14ac:dyDescent="0.3">
      <c r="A55" s="5"/>
      <c r="B55" s="125"/>
      <c r="C55" s="8"/>
      <c r="D55" s="9"/>
      <c r="E55" s="115" t="s">
        <v>3</v>
      </c>
      <c r="F55" s="116"/>
      <c r="G55" s="117"/>
      <c r="H55" s="7" t="s">
        <v>4</v>
      </c>
      <c r="I55" s="115" t="s">
        <v>5</v>
      </c>
      <c r="J55" s="116"/>
      <c r="K55" s="117"/>
      <c r="L55" s="17" t="s">
        <v>4</v>
      </c>
    </row>
    <row r="56" spans="1:12" ht="5.15" customHeight="1" x14ac:dyDescent="0.3">
      <c r="A56" s="5"/>
      <c r="B56" s="125"/>
      <c r="C56" s="112"/>
      <c r="D56" s="5"/>
      <c r="E56" s="18"/>
      <c r="F56" s="18"/>
      <c r="G56" s="18"/>
      <c r="H56" s="12"/>
      <c r="I56" s="18"/>
      <c r="J56" s="18"/>
      <c r="K56" s="18"/>
      <c r="L56" s="16"/>
    </row>
    <row r="57" spans="1:12" ht="15.75" customHeight="1" x14ac:dyDescent="0.3">
      <c r="A57" s="5"/>
      <c r="B57" s="125"/>
      <c r="C57" s="113"/>
      <c r="D57" s="19" t="s">
        <v>14</v>
      </c>
      <c r="E57" s="18"/>
      <c r="F57" s="20">
        <v>10000</v>
      </c>
      <c r="G57" s="18"/>
      <c r="H57" s="13" t="s">
        <v>8</v>
      </c>
      <c r="I57" s="18"/>
      <c r="J57" s="21" t="s">
        <v>9</v>
      </c>
      <c r="K57" s="18"/>
      <c r="L57" s="22" t="s">
        <v>8</v>
      </c>
    </row>
    <row r="58" spans="1:12" ht="5.15" customHeight="1" x14ac:dyDescent="0.3">
      <c r="A58" s="5"/>
      <c r="B58" s="125"/>
      <c r="C58" s="114"/>
      <c r="D58" s="10"/>
      <c r="E58" s="11"/>
      <c r="F58" s="11"/>
      <c r="G58" s="11"/>
      <c r="H58" s="9"/>
      <c r="I58" s="11"/>
      <c r="J58" s="11"/>
      <c r="K58" s="11"/>
      <c r="L58" s="23"/>
    </row>
    <row r="59" spans="1:12" ht="5.15" customHeight="1" x14ac:dyDescent="0.3">
      <c r="A59" s="5"/>
      <c r="B59" s="125"/>
      <c r="C59" s="113"/>
      <c r="D59" s="5"/>
      <c r="E59" s="18"/>
      <c r="F59" s="18"/>
      <c r="G59" s="18"/>
      <c r="H59" s="14"/>
      <c r="I59" s="18"/>
      <c r="J59" s="18"/>
      <c r="K59" s="18"/>
      <c r="L59" s="16"/>
    </row>
    <row r="60" spans="1:12" ht="15.75" customHeight="1" x14ac:dyDescent="0.3">
      <c r="A60" s="5"/>
      <c r="B60" s="125"/>
      <c r="C60" s="113"/>
      <c r="D60" s="19" t="s">
        <v>15</v>
      </c>
      <c r="E60" s="18"/>
      <c r="F60" s="20">
        <v>10000</v>
      </c>
      <c r="G60" s="18"/>
      <c r="H60" s="13" t="s">
        <v>8</v>
      </c>
      <c r="I60" s="18"/>
      <c r="J60" s="21" t="s">
        <v>9</v>
      </c>
      <c r="K60" s="18"/>
      <c r="L60" s="22" t="s">
        <v>8</v>
      </c>
    </row>
    <row r="61" spans="1:12" ht="5.15" customHeight="1" x14ac:dyDescent="0.3">
      <c r="A61" s="5"/>
      <c r="B61" s="125"/>
      <c r="C61" s="114"/>
      <c r="D61" s="10"/>
      <c r="E61" s="11"/>
      <c r="F61" s="11"/>
      <c r="G61" s="11"/>
      <c r="H61" s="9"/>
      <c r="I61" s="11"/>
      <c r="J61" s="11"/>
      <c r="K61" s="11"/>
      <c r="L61" s="23"/>
    </row>
    <row r="62" spans="1:12" ht="5.15" customHeight="1" x14ac:dyDescent="0.3">
      <c r="A62" s="5"/>
      <c r="B62" s="125"/>
      <c r="C62" s="113"/>
      <c r="D62" s="5"/>
      <c r="E62" s="18"/>
      <c r="F62" s="18"/>
      <c r="G62" s="18"/>
      <c r="H62" s="14"/>
      <c r="I62" s="18"/>
      <c r="J62" s="18"/>
      <c r="K62" s="18"/>
      <c r="L62" s="16"/>
    </row>
    <row r="63" spans="1:12" ht="15.75" customHeight="1" x14ac:dyDescent="0.3">
      <c r="A63" s="5"/>
      <c r="B63" s="125"/>
      <c r="C63" s="113"/>
      <c r="D63" s="19" t="s">
        <v>16</v>
      </c>
      <c r="E63" s="18"/>
      <c r="F63" s="20">
        <v>10000</v>
      </c>
      <c r="G63" s="18"/>
      <c r="H63" s="13" t="s">
        <v>8</v>
      </c>
      <c r="I63" s="18"/>
      <c r="J63" s="21" t="s">
        <v>9</v>
      </c>
      <c r="K63" s="18"/>
      <c r="L63" s="22" t="s">
        <v>8</v>
      </c>
    </row>
    <row r="64" spans="1:12" ht="5.15" customHeight="1" x14ac:dyDescent="0.3">
      <c r="A64" s="5"/>
      <c r="B64" s="125"/>
      <c r="C64" s="114"/>
      <c r="D64" s="10"/>
      <c r="E64" s="11"/>
      <c r="F64" s="11"/>
      <c r="G64" s="11"/>
      <c r="H64" s="9"/>
      <c r="I64" s="11"/>
      <c r="J64" s="11"/>
      <c r="K64" s="11"/>
      <c r="L64" s="23"/>
    </row>
    <row r="65" spans="1:12" ht="5.15" customHeight="1" x14ac:dyDescent="0.3">
      <c r="A65" s="5"/>
      <c r="B65" s="125"/>
      <c r="C65" s="113"/>
      <c r="D65" s="5"/>
      <c r="E65" s="18"/>
      <c r="F65" s="18"/>
      <c r="G65" s="18"/>
      <c r="H65" s="14"/>
      <c r="I65" s="18"/>
      <c r="J65" s="18"/>
      <c r="K65" s="18"/>
      <c r="L65" s="16"/>
    </row>
    <row r="66" spans="1:12" ht="15.75" customHeight="1" x14ac:dyDescent="0.3">
      <c r="A66" s="5"/>
      <c r="B66" s="125"/>
      <c r="C66" s="113"/>
      <c r="D66" s="19" t="s">
        <v>17</v>
      </c>
      <c r="E66" s="18"/>
      <c r="F66" s="20">
        <v>10000</v>
      </c>
      <c r="G66" s="18"/>
      <c r="H66" s="13" t="s">
        <v>8</v>
      </c>
      <c r="I66" s="18"/>
      <c r="J66" s="21" t="s">
        <v>9</v>
      </c>
      <c r="K66" s="18"/>
      <c r="L66" s="22" t="s">
        <v>8</v>
      </c>
    </row>
    <row r="67" spans="1:12" ht="5.15" customHeight="1" x14ac:dyDescent="0.3">
      <c r="A67" s="5"/>
      <c r="B67" s="125"/>
      <c r="C67" s="114"/>
      <c r="D67" s="10"/>
      <c r="E67" s="11"/>
      <c r="F67" s="11"/>
      <c r="G67" s="11"/>
      <c r="H67" s="9"/>
      <c r="I67" s="11"/>
      <c r="J67" s="11"/>
      <c r="K67" s="11"/>
      <c r="L67" s="23"/>
    </row>
    <row r="68" spans="1:12" ht="5.15" customHeight="1" x14ac:dyDescent="0.3">
      <c r="A68" s="5"/>
      <c r="B68" s="125"/>
      <c r="C68" s="113"/>
      <c r="D68" s="5"/>
      <c r="E68" s="18"/>
      <c r="F68" s="18"/>
      <c r="G68" s="18"/>
      <c r="H68" s="14"/>
      <c r="I68" s="18"/>
      <c r="J68" s="18"/>
      <c r="K68" s="18"/>
      <c r="L68" s="16"/>
    </row>
    <row r="69" spans="1:12" ht="15.75" customHeight="1" x14ac:dyDescent="0.3">
      <c r="A69" s="5"/>
      <c r="B69" s="125"/>
      <c r="C69" s="113"/>
      <c r="D69" s="19" t="s">
        <v>18</v>
      </c>
      <c r="E69" s="18"/>
      <c r="F69" s="20">
        <v>10000</v>
      </c>
      <c r="G69" s="18"/>
      <c r="H69" s="13" t="s">
        <v>8</v>
      </c>
      <c r="I69" s="18"/>
      <c r="J69" s="21" t="s">
        <v>9</v>
      </c>
      <c r="K69" s="18"/>
      <c r="L69" s="22" t="s">
        <v>8</v>
      </c>
    </row>
    <row r="70" spans="1:12" ht="5.15" customHeight="1" x14ac:dyDescent="0.3">
      <c r="A70" s="5"/>
      <c r="B70" s="125"/>
      <c r="C70" s="114"/>
      <c r="D70" s="10"/>
      <c r="E70" s="11"/>
      <c r="F70" s="11"/>
      <c r="G70" s="11"/>
      <c r="H70" s="9"/>
      <c r="I70" s="11"/>
      <c r="J70" s="11"/>
      <c r="K70" s="11"/>
      <c r="L70" s="23"/>
    </row>
    <row r="71" spans="1:12" ht="5.15" customHeight="1" x14ac:dyDescent="0.3">
      <c r="A71" s="5"/>
      <c r="B71" s="125"/>
      <c r="C71" s="113"/>
      <c r="D71" s="5"/>
      <c r="E71" s="18"/>
      <c r="F71" s="18"/>
      <c r="G71" s="18"/>
      <c r="H71" s="14"/>
      <c r="I71" s="18"/>
      <c r="J71" s="18"/>
      <c r="K71" s="18"/>
      <c r="L71" s="16"/>
    </row>
    <row r="72" spans="1:12" ht="15.75" customHeight="1" x14ac:dyDescent="0.3">
      <c r="A72" s="5"/>
      <c r="B72" s="125"/>
      <c r="C72" s="113"/>
      <c r="D72" s="19" t="s">
        <v>19</v>
      </c>
      <c r="E72" s="18"/>
      <c r="F72" s="18"/>
      <c r="G72" s="18"/>
      <c r="H72" s="14"/>
      <c r="I72" s="18"/>
      <c r="J72" s="18"/>
      <c r="K72" s="18"/>
      <c r="L72" s="16"/>
    </row>
    <row r="73" spans="1:12" ht="22" customHeight="1" x14ac:dyDescent="0.3">
      <c r="A73" s="5"/>
      <c r="B73" s="125"/>
      <c r="C73" s="15"/>
      <c r="D73" s="5"/>
      <c r="E73" s="5"/>
      <c r="F73" s="5"/>
      <c r="G73" s="5"/>
      <c r="H73" s="14"/>
      <c r="I73" s="5"/>
      <c r="J73" s="5"/>
      <c r="K73" s="5"/>
      <c r="L73" s="16"/>
    </row>
    <row r="74" spans="1:12" ht="5.15" customHeight="1" thickBot="1" x14ac:dyDescent="0.35">
      <c r="A74" s="5"/>
      <c r="B74" s="132"/>
      <c r="C74" s="27"/>
      <c r="D74" s="28"/>
      <c r="E74" s="28"/>
      <c r="F74" s="28"/>
      <c r="G74" s="28"/>
      <c r="H74" s="32"/>
      <c r="I74" s="28"/>
      <c r="J74" s="28"/>
      <c r="K74" s="28"/>
      <c r="L74" s="29"/>
    </row>
    <row r="75" spans="1:12" ht="15.75" customHeight="1" x14ac:dyDescent="0.3">
      <c r="A75" s="5"/>
      <c r="B75" s="136" t="s">
        <v>12</v>
      </c>
      <c r="C75" s="30"/>
      <c r="D75" s="30"/>
      <c r="E75" s="30"/>
      <c r="F75" s="30"/>
      <c r="G75" s="30"/>
      <c r="H75" s="30"/>
      <c r="I75" s="30"/>
      <c r="J75" s="30"/>
      <c r="K75" s="30"/>
      <c r="L75" s="31"/>
    </row>
    <row r="76" spans="1:12" ht="18" customHeight="1" x14ac:dyDescent="0.3">
      <c r="A76" s="5"/>
      <c r="B76" s="125"/>
      <c r="C76" s="8"/>
      <c r="D76" s="9"/>
      <c r="E76" s="115" t="s">
        <v>3</v>
      </c>
      <c r="F76" s="116"/>
      <c r="G76" s="117"/>
      <c r="H76" s="7" t="s">
        <v>4</v>
      </c>
      <c r="I76" s="115" t="s">
        <v>5</v>
      </c>
      <c r="J76" s="116"/>
      <c r="K76" s="117"/>
      <c r="L76" s="17" t="s">
        <v>4</v>
      </c>
    </row>
    <row r="77" spans="1:12" ht="5.15" customHeight="1" x14ac:dyDescent="0.3">
      <c r="A77" s="5"/>
      <c r="B77" s="125"/>
      <c r="C77" s="112"/>
      <c r="D77" s="5"/>
      <c r="E77" s="18"/>
      <c r="F77" s="18"/>
      <c r="G77" s="18"/>
      <c r="H77" s="12"/>
      <c r="I77" s="18"/>
      <c r="J77" s="18"/>
      <c r="K77" s="18"/>
      <c r="L77" s="16"/>
    </row>
    <row r="78" spans="1:12" ht="15.75" customHeight="1" x14ac:dyDescent="0.3">
      <c r="A78" s="5"/>
      <c r="B78" s="125"/>
      <c r="C78" s="113"/>
      <c r="D78" s="19" t="s">
        <v>14</v>
      </c>
      <c r="E78" s="18"/>
      <c r="F78" s="20">
        <v>10000</v>
      </c>
      <c r="G78" s="18"/>
      <c r="H78" s="13" t="s">
        <v>8</v>
      </c>
      <c r="I78" s="18"/>
      <c r="J78" s="21" t="s">
        <v>9</v>
      </c>
      <c r="K78" s="18"/>
      <c r="L78" s="22" t="s">
        <v>8</v>
      </c>
    </row>
    <row r="79" spans="1:12" ht="5.15" customHeight="1" x14ac:dyDescent="0.3">
      <c r="A79" s="5"/>
      <c r="B79" s="125"/>
      <c r="C79" s="114"/>
      <c r="D79" s="10"/>
      <c r="E79" s="11"/>
      <c r="F79" s="11"/>
      <c r="G79" s="11"/>
      <c r="H79" s="9"/>
      <c r="I79" s="11"/>
      <c r="J79" s="11"/>
      <c r="K79" s="11"/>
      <c r="L79" s="23"/>
    </row>
    <row r="80" spans="1:12" ht="5.15" customHeight="1" x14ac:dyDescent="0.3">
      <c r="A80" s="5"/>
      <c r="B80" s="125"/>
      <c r="C80" s="113"/>
      <c r="D80" s="5"/>
      <c r="E80" s="18"/>
      <c r="F80" s="18"/>
      <c r="G80" s="18"/>
      <c r="H80" s="14"/>
      <c r="I80" s="18"/>
      <c r="J80" s="18"/>
      <c r="K80" s="18"/>
      <c r="L80" s="16"/>
    </row>
    <row r="81" spans="1:12" ht="15.75" customHeight="1" x14ac:dyDescent="0.3">
      <c r="A81" s="5"/>
      <c r="B81" s="125"/>
      <c r="C81" s="113"/>
      <c r="D81" s="19" t="s">
        <v>15</v>
      </c>
      <c r="E81" s="18"/>
      <c r="F81" s="20">
        <v>10000</v>
      </c>
      <c r="G81" s="18"/>
      <c r="H81" s="13" t="s">
        <v>8</v>
      </c>
      <c r="I81" s="18"/>
      <c r="J81" s="21" t="s">
        <v>9</v>
      </c>
      <c r="K81" s="18"/>
      <c r="L81" s="22" t="s">
        <v>8</v>
      </c>
    </row>
    <row r="82" spans="1:12" ht="5.15" customHeight="1" x14ac:dyDescent="0.3">
      <c r="A82" s="5"/>
      <c r="B82" s="125"/>
      <c r="C82" s="114"/>
      <c r="D82" s="10"/>
      <c r="E82" s="11"/>
      <c r="F82" s="11"/>
      <c r="G82" s="11"/>
      <c r="H82" s="9"/>
      <c r="I82" s="11"/>
      <c r="J82" s="11"/>
      <c r="K82" s="11"/>
      <c r="L82" s="23"/>
    </row>
    <row r="83" spans="1:12" ht="5.15" customHeight="1" x14ac:dyDescent="0.3">
      <c r="A83" s="5"/>
      <c r="B83" s="125"/>
      <c r="C83" s="113"/>
      <c r="D83" s="5"/>
      <c r="E83" s="18"/>
      <c r="F83" s="18"/>
      <c r="G83" s="18"/>
      <c r="H83" s="14"/>
      <c r="I83" s="18"/>
      <c r="J83" s="18"/>
      <c r="K83" s="18"/>
      <c r="L83" s="16"/>
    </row>
    <row r="84" spans="1:12" ht="15.75" customHeight="1" x14ac:dyDescent="0.3">
      <c r="A84" s="5"/>
      <c r="B84" s="125"/>
      <c r="C84" s="113"/>
      <c r="D84" s="19" t="s">
        <v>16</v>
      </c>
      <c r="E84" s="18"/>
      <c r="F84" s="20">
        <v>10000</v>
      </c>
      <c r="G84" s="18"/>
      <c r="H84" s="13" t="s">
        <v>8</v>
      </c>
      <c r="I84" s="18"/>
      <c r="J84" s="21" t="s">
        <v>9</v>
      </c>
      <c r="K84" s="18"/>
      <c r="L84" s="22" t="s">
        <v>8</v>
      </c>
    </row>
    <row r="85" spans="1:12" ht="5.15" customHeight="1" x14ac:dyDescent="0.3">
      <c r="A85" s="5"/>
      <c r="B85" s="125"/>
      <c r="C85" s="114"/>
      <c r="D85" s="10"/>
      <c r="E85" s="11"/>
      <c r="F85" s="11"/>
      <c r="G85" s="11"/>
      <c r="H85" s="9"/>
      <c r="I85" s="11"/>
      <c r="J85" s="11"/>
      <c r="K85" s="11"/>
      <c r="L85" s="23"/>
    </row>
    <row r="86" spans="1:12" ht="5.15" customHeight="1" x14ac:dyDescent="0.3">
      <c r="A86" s="5"/>
      <c r="B86" s="125"/>
      <c r="C86" s="113"/>
      <c r="D86" s="5"/>
      <c r="E86" s="18"/>
      <c r="F86" s="18"/>
      <c r="G86" s="18"/>
      <c r="H86" s="14"/>
      <c r="I86" s="18"/>
      <c r="J86" s="18"/>
      <c r="K86" s="18"/>
      <c r="L86" s="16"/>
    </row>
    <row r="87" spans="1:12" ht="15.75" customHeight="1" x14ac:dyDescent="0.3">
      <c r="A87" s="5"/>
      <c r="B87" s="125"/>
      <c r="C87" s="113"/>
      <c r="D87" s="19" t="s">
        <v>17</v>
      </c>
      <c r="E87" s="18"/>
      <c r="F87" s="45">
        <v>10000</v>
      </c>
      <c r="G87" s="18"/>
      <c r="H87" s="13" t="s">
        <v>8</v>
      </c>
      <c r="I87" s="18"/>
      <c r="J87" s="21" t="s">
        <v>9</v>
      </c>
      <c r="K87" s="18"/>
      <c r="L87" s="22" t="s">
        <v>8</v>
      </c>
    </row>
    <row r="88" spans="1:12" ht="5.15" customHeight="1" x14ac:dyDescent="0.3">
      <c r="A88" s="5"/>
      <c r="B88" s="125"/>
      <c r="C88" s="114"/>
      <c r="D88" s="10"/>
      <c r="E88" s="11"/>
      <c r="F88" s="11"/>
      <c r="G88" s="11"/>
      <c r="H88" s="9"/>
      <c r="I88" s="11"/>
      <c r="J88" s="11"/>
      <c r="K88" s="11"/>
      <c r="L88" s="23"/>
    </row>
    <row r="89" spans="1:12" ht="5.15" customHeight="1" x14ac:dyDescent="0.3">
      <c r="A89" s="5"/>
      <c r="B89" s="125"/>
      <c r="C89" s="113"/>
      <c r="D89" s="5"/>
      <c r="E89" s="18"/>
      <c r="F89" s="18"/>
      <c r="G89" s="18"/>
      <c r="H89" s="14"/>
      <c r="I89" s="18"/>
      <c r="J89" s="18"/>
      <c r="K89" s="18"/>
      <c r="L89" s="16"/>
    </row>
    <row r="90" spans="1:12" ht="15.75" customHeight="1" x14ac:dyDescent="0.3">
      <c r="A90" s="5"/>
      <c r="B90" s="125"/>
      <c r="C90" s="113"/>
      <c r="D90" s="19" t="s">
        <v>18</v>
      </c>
      <c r="E90" s="18"/>
      <c r="F90" s="20">
        <v>10000</v>
      </c>
      <c r="G90" s="18"/>
      <c r="H90" s="13" t="s">
        <v>8</v>
      </c>
      <c r="I90" s="18"/>
      <c r="J90" s="21" t="s">
        <v>9</v>
      </c>
      <c r="K90" s="18"/>
      <c r="L90" s="22" t="s">
        <v>8</v>
      </c>
    </row>
    <row r="91" spans="1:12" ht="5.15" customHeight="1" x14ac:dyDescent="0.3">
      <c r="A91" s="5"/>
      <c r="B91" s="125"/>
      <c r="C91" s="114"/>
      <c r="D91" s="10"/>
      <c r="E91" s="11"/>
      <c r="F91" s="11"/>
      <c r="G91" s="11"/>
      <c r="H91" s="9"/>
      <c r="I91" s="11"/>
      <c r="J91" s="11"/>
      <c r="K91" s="11"/>
      <c r="L91" s="23"/>
    </row>
    <row r="92" spans="1:12" ht="5.15" customHeight="1" x14ac:dyDescent="0.3">
      <c r="A92" s="5"/>
      <c r="B92" s="125"/>
      <c r="C92" s="113"/>
      <c r="D92" s="5"/>
      <c r="E92" s="18"/>
      <c r="F92" s="18"/>
      <c r="G92" s="18"/>
      <c r="H92" s="14"/>
      <c r="I92" s="18"/>
      <c r="J92" s="18"/>
      <c r="K92" s="18"/>
      <c r="L92" s="16"/>
    </row>
    <row r="93" spans="1:12" ht="15.75" customHeight="1" x14ac:dyDescent="0.3">
      <c r="A93" s="5"/>
      <c r="B93" s="125"/>
      <c r="C93" s="113"/>
      <c r="D93" s="19" t="s">
        <v>19</v>
      </c>
      <c r="E93" s="18"/>
      <c r="F93" s="18"/>
      <c r="G93" s="18"/>
      <c r="H93" s="14"/>
      <c r="I93" s="18"/>
      <c r="J93" s="18"/>
      <c r="K93" s="18"/>
      <c r="L93" s="16"/>
    </row>
    <row r="94" spans="1:12" ht="5.15" customHeight="1" x14ac:dyDescent="0.3">
      <c r="A94" s="5"/>
      <c r="B94" s="125"/>
      <c r="C94" s="15"/>
      <c r="D94" s="19"/>
      <c r="E94" s="18"/>
      <c r="F94" s="18"/>
      <c r="G94" s="18"/>
      <c r="H94" s="14"/>
      <c r="I94" s="18"/>
      <c r="J94" s="18"/>
      <c r="K94" s="18"/>
      <c r="L94" s="16"/>
    </row>
    <row r="95" spans="1:12" ht="15.75" customHeight="1" x14ac:dyDescent="0.3">
      <c r="A95" s="5"/>
      <c r="B95" s="125"/>
      <c r="C95" s="15"/>
      <c r="D95" s="46" t="s">
        <v>106</v>
      </c>
      <c r="E95" s="18"/>
      <c r="F95" s="76">
        <v>1</v>
      </c>
      <c r="G95" s="18"/>
      <c r="H95" s="13" t="s">
        <v>8</v>
      </c>
      <c r="I95" s="18"/>
      <c r="J95" s="21" t="s">
        <v>9</v>
      </c>
      <c r="K95" s="18"/>
      <c r="L95" s="22"/>
    </row>
    <row r="96" spans="1:12" ht="5.15" customHeight="1" x14ac:dyDescent="0.3">
      <c r="A96" s="5"/>
      <c r="B96" s="125"/>
      <c r="C96" s="15"/>
      <c r="D96" s="48"/>
      <c r="E96" s="11"/>
      <c r="F96" s="11"/>
      <c r="G96" s="11"/>
      <c r="H96" s="9"/>
      <c r="I96" s="11"/>
      <c r="J96" s="11"/>
      <c r="K96" s="11"/>
      <c r="L96" s="23"/>
    </row>
    <row r="97" spans="1:12" ht="22" customHeight="1" x14ac:dyDescent="0.3">
      <c r="A97" s="5"/>
      <c r="B97" s="125"/>
      <c r="C97" s="15"/>
      <c r="D97" s="5"/>
      <c r="E97" s="5"/>
      <c r="F97" s="5"/>
      <c r="G97" s="5"/>
      <c r="H97" s="14"/>
      <c r="I97" s="5"/>
      <c r="J97" s="5"/>
      <c r="K97" s="5"/>
      <c r="L97" s="16"/>
    </row>
    <row r="98" spans="1:12" ht="5.15" customHeight="1" thickBot="1" x14ac:dyDescent="0.35">
      <c r="A98" s="5"/>
      <c r="B98" s="132"/>
      <c r="C98" s="27"/>
      <c r="D98" s="28"/>
      <c r="E98" s="28"/>
      <c r="F98" s="28"/>
      <c r="G98" s="28"/>
      <c r="H98" s="32"/>
      <c r="I98" s="28"/>
      <c r="J98" s="28"/>
      <c r="K98" s="28"/>
      <c r="L98" s="29"/>
    </row>
    <row r="99" spans="1:12" ht="24.65" customHeight="1" x14ac:dyDescent="0.3">
      <c r="A99" s="5"/>
      <c r="B99" s="5"/>
      <c r="C99" s="5"/>
      <c r="D99" s="5"/>
      <c r="E99" s="5"/>
      <c r="F99" s="5"/>
      <c r="G99" s="5"/>
      <c r="H99" s="5"/>
      <c r="I99" s="5"/>
      <c r="J99" s="5"/>
      <c r="K99" s="5"/>
      <c r="L99" s="5"/>
    </row>
    <row r="100" spans="1:12" ht="14.5" thickBot="1" x14ac:dyDescent="0.35">
      <c r="A100" s="5"/>
      <c r="B100" s="5"/>
      <c r="C100" s="5"/>
      <c r="D100" s="5"/>
      <c r="E100" s="5"/>
      <c r="F100" s="5"/>
      <c r="G100" s="5"/>
      <c r="H100" s="5"/>
      <c r="I100" s="5"/>
      <c r="J100" s="5"/>
      <c r="K100" s="5"/>
      <c r="L100" s="5"/>
    </row>
    <row r="101" spans="1:12" ht="28.4" customHeight="1" x14ac:dyDescent="0.3">
      <c r="A101" s="5"/>
      <c r="B101" s="118" t="s">
        <v>20</v>
      </c>
      <c r="C101" s="119"/>
      <c r="D101" s="119"/>
      <c r="E101" s="119"/>
      <c r="F101" s="119"/>
      <c r="G101" s="119"/>
      <c r="H101" s="119"/>
      <c r="I101" s="119"/>
      <c r="J101" s="119"/>
      <c r="K101" s="119"/>
      <c r="L101" s="120"/>
    </row>
    <row r="102" spans="1:12" ht="28.4" customHeight="1" x14ac:dyDescent="0.3">
      <c r="A102" s="5"/>
      <c r="B102" s="121"/>
      <c r="C102" s="122"/>
      <c r="D102" s="122"/>
      <c r="E102" s="122"/>
      <c r="F102" s="122"/>
      <c r="G102" s="122"/>
      <c r="H102" s="122"/>
      <c r="I102" s="122"/>
      <c r="J102" s="122"/>
      <c r="K102" s="122"/>
      <c r="L102" s="123"/>
    </row>
    <row r="103" spans="1:12" ht="21.75" customHeight="1" x14ac:dyDescent="0.3">
      <c r="A103" s="5"/>
      <c r="B103" s="124" t="s">
        <v>6</v>
      </c>
      <c r="C103" s="5"/>
      <c r="D103" s="5"/>
      <c r="E103" s="5"/>
      <c r="F103" s="5"/>
      <c r="G103" s="5"/>
      <c r="H103" s="5"/>
      <c r="I103" s="5"/>
      <c r="J103" s="5"/>
      <c r="K103" s="5"/>
      <c r="L103" s="16"/>
    </row>
    <row r="104" spans="1:12" ht="18" customHeight="1" x14ac:dyDescent="0.3">
      <c r="A104" s="5"/>
      <c r="B104" s="125"/>
      <c r="C104" s="8"/>
      <c r="D104" s="9"/>
      <c r="E104" s="115" t="s">
        <v>3</v>
      </c>
      <c r="F104" s="116"/>
      <c r="G104" s="117"/>
      <c r="H104" s="7" t="s">
        <v>4</v>
      </c>
      <c r="I104" s="115" t="s">
        <v>5</v>
      </c>
      <c r="J104" s="116"/>
      <c r="K104" s="117"/>
      <c r="L104" s="17" t="s">
        <v>4</v>
      </c>
    </row>
    <row r="105" spans="1:12" ht="5.15" customHeight="1" x14ac:dyDescent="0.3">
      <c r="A105" s="5"/>
      <c r="B105" s="125"/>
      <c r="C105" s="112"/>
      <c r="D105" s="5"/>
      <c r="E105" s="18"/>
      <c r="F105" s="18"/>
      <c r="G105" s="18"/>
      <c r="H105" s="12"/>
      <c r="I105" s="18"/>
      <c r="J105" s="18"/>
      <c r="K105" s="18"/>
      <c r="L105" s="16"/>
    </row>
    <row r="106" spans="1:12" ht="15.75" customHeight="1" x14ac:dyDescent="0.3">
      <c r="A106" s="5"/>
      <c r="B106" s="125"/>
      <c r="C106" s="113"/>
      <c r="D106" s="19" t="s">
        <v>21</v>
      </c>
      <c r="E106" s="18"/>
      <c r="F106" s="20">
        <v>10000</v>
      </c>
      <c r="G106" s="18"/>
      <c r="H106" s="13" t="s">
        <v>8</v>
      </c>
      <c r="I106" s="18"/>
      <c r="J106" s="21" t="s">
        <v>9</v>
      </c>
      <c r="K106" s="18"/>
      <c r="L106" s="22" t="s">
        <v>8</v>
      </c>
    </row>
    <row r="107" spans="1:12" ht="5.15" customHeight="1" x14ac:dyDescent="0.3">
      <c r="A107" s="5"/>
      <c r="B107" s="125"/>
      <c r="C107" s="114"/>
      <c r="D107" s="10"/>
      <c r="E107" s="11"/>
      <c r="F107" s="11"/>
      <c r="G107" s="11"/>
      <c r="H107" s="9"/>
      <c r="I107" s="11"/>
      <c r="J107" s="11"/>
      <c r="K107" s="11"/>
      <c r="L107" s="23"/>
    </row>
    <row r="108" spans="1:12" ht="5.15" customHeight="1" x14ac:dyDescent="0.3">
      <c r="A108" s="5"/>
      <c r="B108" s="125"/>
      <c r="C108" s="113"/>
      <c r="D108" s="5"/>
      <c r="E108" s="18"/>
      <c r="F108" s="18"/>
      <c r="G108" s="18"/>
      <c r="H108" s="14"/>
      <c r="I108" s="18"/>
      <c r="J108" s="18"/>
      <c r="K108" s="18"/>
      <c r="L108" s="16"/>
    </row>
    <row r="109" spans="1:12" ht="15.75" customHeight="1" x14ac:dyDescent="0.3">
      <c r="A109" s="5"/>
      <c r="B109" s="125"/>
      <c r="C109" s="113"/>
      <c r="D109" s="19" t="s">
        <v>22</v>
      </c>
      <c r="E109" s="18"/>
      <c r="F109" s="20">
        <v>10000</v>
      </c>
      <c r="G109" s="18"/>
      <c r="H109" s="13" t="s">
        <v>8</v>
      </c>
      <c r="I109" s="18"/>
      <c r="J109" s="21" t="s">
        <v>9</v>
      </c>
      <c r="K109" s="18"/>
      <c r="L109" s="22" t="s">
        <v>8</v>
      </c>
    </row>
    <row r="110" spans="1:12" ht="5.15" customHeight="1" x14ac:dyDescent="0.3">
      <c r="A110" s="5"/>
      <c r="B110" s="126"/>
      <c r="C110" s="114"/>
      <c r="D110" s="10"/>
      <c r="E110" s="11"/>
      <c r="F110" s="11"/>
      <c r="G110" s="11"/>
      <c r="H110" s="9"/>
      <c r="I110" s="11"/>
      <c r="J110" s="11"/>
      <c r="K110" s="11"/>
      <c r="L110" s="23"/>
    </row>
    <row r="111" spans="1:12" ht="21.75" customHeight="1" x14ac:dyDescent="0.3">
      <c r="A111" s="5"/>
      <c r="B111" s="124" t="s">
        <v>12</v>
      </c>
      <c r="C111" s="5"/>
      <c r="D111" s="5"/>
      <c r="E111" s="5"/>
      <c r="F111" s="5"/>
      <c r="G111" s="5"/>
      <c r="H111" s="5"/>
      <c r="I111" s="5"/>
      <c r="J111" s="5"/>
      <c r="K111" s="5"/>
      <c r="L111" s="16"/>
    </row>
    <row r="112" spans="1:12" ht="18" customHeight="1" x14ac:dyDescent="0.3">
      <c r="A112" s="5"/>
      <c r="B112" s="125"/>
      <c r="C112" s="8"/>
      <c r="D112" s="9"/>
      <c r="E112" s="115" t="s">
        <v>3</v>
      </c>
      <c r="F112" s="116"/>
      <c r="G112" s="117"/>
      <c r="H112" s="7" t="s">
        <v>4</v>
      </c>
      <c r="I112" s="115" t="s">
        <v>5</v>
      </c>
      <c r="J112" s="116"/>
      <c r="K112" s="117"/>
      <c r="L112" s="17" t="s">
        <v>4</v>
      </c>
    </row>
    <row r="113" spans="1:12" ht="5.15" customHeight="1" x14ac:dyDescent="0.3">
      <c r="A113" s="5"/>
      <c r="B113" s="125"/>
      <c r="C113" s="112"/>
      <c r="D113" s="5"/>
      <c r="E113" s="18"/>
      <c r="F113" s="18"/>
      <c r="G113" s="18"/>
      <c r="H113" s="12"/>
      <c r="I113" s="18"/>
      <c r="J113" s="18"/>
      <c r="K113" s="18"/>
      <c r="L113" s="16"/>
    </row>
    <row r="114" spans="1:12" ht="15.75" customHeight="1" x14ac:dyDescent="0.3">
      <c r="A114" s="5"/>
      <c r="B114" s="125"/>
      <c r="C114" s="113"/>
      <c r="D114" s="19" t="s">
        <v>21</v>
      </c>
      <c r="E114" s="18"/>
      <c r="F114" s="20">
        <v>10000</v>
      </c>
      <c r="G114" s="18"/>
      <c r="H114" s="13" t="s">
        <v>8</v>
      </c>
      <c r="I114" s="18"/>
      <c r="J114" s="21" t="s">
        <v>9</v>
      </c>
      <c r="K114" s="18"/>
      <c r="L114" s="22" t="s">
        <v>8</v>
      </c>
    </row>
    <row r="115" spans="1:12" ht="5.15" customHeight="1" x14ac:dyDescent="0.3">
      <c r="A115" s="5"/>
      <c r="B115" s="125"/>
      <c r="C115" s="114"/>
      <c r="D115" s="10"/>
      <c r="E115" s="11"/>
      <c r="F115" s="11"/>
      <c r="G115" s="11"/>
      <c r="H115" s="9"/>
      <c r="I115" s="11"/>
      <c r="J115" s="11"/>
      <c r="K115" s="11"/>
      <c r="L115" s="23"/>
    </row>
    <row r="116" spans="1:12" ht="5.15" customHeight="1" x14ac:dyDescent="0.3">
      <c r="A116" s="5"/>
      <c r="B116" s="125"/>
      <c r="C116" s="113"/>
      <c r="D116" s="5"/>
      <c r="E116" s="18"/>
      <c r="F116" s="18"/>
      <c r="G116" s="18"/>
      <c r="H116" s="14"/>
      <c r="I116" s="18"/>
      <c r="J116" s="18"/>
      <c r="K116" s="18"/>
      <c r="L116" s="16"/>
    </row>
    <row r="117" spans="1:12" ht="15.75" customHeight="1" x14ac:dyDescent="0.3">
      <c r="A117" s="5"/>
      <c r="B117" s="125"/>
      <c r="C117" s="113"/>
      <c r="D117" s="19" t="s">
        <v>22</v>
      </c>
      <c r="E117" s="18"/>
      <c r="F117" s="20">
        <v>10000</v>
      </c>
      <c r="G117" s="18"/>
      <c r="H117" s="13" t="s">
        <v>8</v>
      </c>
      <c r="I117" s="18"/>
      <c r="J117" s="21" t="s">
        <v>9</v>
      </c>
      <c r="K117" s="18"/>
      <c r="L117" s="22" t="s">
        <v>8</v>
      </c>
    </row>
    <row r="118" spans="1:12" ht="5.15" customHeight="1" thickBot="1" x14ac:dyDescent="0.35">
      <c r="A118" s="5"/>
      <c r="B118" s="132"/>
      <c r="C118" s="131"/>
      <c r="D118" s="28"/>
      <c r="E118" s="33"/>
      <c r="F118" s="33"/>
      <c r="G118" s="33"/>
      <c r="H118" s="32"/>
      <c r="I118" s="33"/>
      <c r="J118" s="33"/>
      <c r="K118" s="33"/>
      <c r="L118" s="29"/>
    </row>
    <row r="119" spans="1:12" ht="15" customHeight="1" x14ac:dyDescent="0.3">
      <c r="A119" s="5"/>
      <c r="B119" s="5"/>
      <c r="C119" s="5"/>
      <c r="D119" s="5"/>
      <c r="E119" s="5"/>
      <c r="F119" s="5"/>
      <c r="G119" s="5"/>
      <c r="H119" s="5"/>
      <c r="I119" s="5"/>
      <c r="J119" s="5"/>
      <c r="K119" s="5"/>
      <c r="L119" s="5"/>
    </row>
    <row r="120" spans="1:12" x14ac:dyDescent="0.3">
      <c r="A120" s="5"/>
      <c r="B120" s="5"/>
      <c r="C120" s="5"/>
      <c r="D120" s="5"/>
      <c r="E120" s="5"/>
      <c r="F120" s="5"/>
      <c r="G120" s="5"/>
      <c r="H120" s="5"/>
      <c r="I120" s="5"/>
      <c r="J120" s="5"/>
      <c r="K120" s="5"/>
      <c r="L120" s="5"/>
    </row>
    <row r="121" spans="1:12" ht="28.4" customHeight="1" x14ac:dyDescent="0.3">
      <c r="A121" s="5"/>
      <c r="B121" s="133" t="s">
        <v>23</v>
      </c>
      <c r="C121" s="134"/>
      <c r="D121" s="134"/>
      <c r="E121" s="134"/>
      <c r="F121" s="134"/>
      <c r="G121" s="134"/>
      <c r="H121" s="134"/>
      <c r="I121" s="134"/>
      <c r="J121" s="134"/>
      <c r="K121" s="134"/>
      <c r="L121" s="135"/>
    </row>
    <row r="122" spans="1:12" ht="18" customHeight="1" x14ac:dyDescent="0.3">
      <c r="A122" s="5"/>
      <c r="B122" s="127"/>
      <c r="C122" s="5"/>
      <c r="D122" s="5"/>
      <c r="E122" s="5"/>
      <c r="F122" s="5"/>
      <c r="G122" s="5"/>
      <c r="H122" s="5"/>
      <c r="I122" s="5"/>
      <c r="J122" s="5"/>
      <c r="K122" s="5"/>
      <c r="L122" s="14"/>
    </row>
    <row r="123" spans="1:12" ht="17.149999999999999" customHeight="1" x14ac:dyDescent="0.3">
      <c r="A123" s="5"/>
      <c r="B123" s="127"/>
      <c r="C123" s="8"/>
      <c r="D123" s="9"/>
      <c r="E123" s="115" t="s">
        <v>5</v>
      </c>
      <c r="F123" s="116"/>
      <c r="G123" s="117"/>
      <c r="H123" s="115" t="s">
        <v>4</v>
      </c>
      <c r="I123" s="116"/>
      <c r="J123" s="116"/>
      <c r="K123" s="116"/>
      <c r="L123" s="117"/>
    </row>
    <row r="124" spans="1:12" ht="5.15" customHeight="1" x14ac:dyDescent="0.3">
      <c r="A124" s="5"/>
      <c r="B124" s="127"/>
      <c r="C124" s="112"/>
      <c r="D124" s="5"/>
      <c r="E124" s="18"/>
      <c r="F124" s="18"/>
      <c r="G124" s="18"/>
      <c r="H124" s="5"/>
      <c r="I124" s="5"/>
      <c r="J124" s="5"/>
      <c r="K124" s="5"/>
      <c r="L124" s="14"/>
    </row>
    <row r="125" spans="1:12" ht="15.75" customHeight="1" x14ac:dyDescent="0.3">
      <c r="A125" s="5"/>
      <c r="B125" s="127"/>
      <c r="C125" s="113"/>
      <c r="D125" s="19" t="s">
        <v>7</v>
      </c>
      <c r="E125" s="18"/>
      <c r="F125" s="21" t="s">
        <v>9</v>
      </c>
      <c r="G125" s="18"/>
      <c r="H125" s="129" t="s">
        <v>8</v>
      </c>
      <c r="I125" s="129"/>
      <c r="J125" s="129"/>
      <c r="K125" s="129"/>
      <c r="L125" s="130"/>
    </row>
    <row r="126" spans="1:12" ht="5.15" customHeight="1" x14ac:dyDescent="0.3">
      <c r="A126" s="5"/>
      <c r="B126" s="127"/>
      <c r="C126" s="114"/>
      <c r="D126" s="10"/>
      <c r="E126" s="11"/>
      <c r="F126" s="11"/>
      <c r="G126" s="11"/>
      <c r="H126" s="10"/>
      <c r="I126" s="10"/>
      <c r="J126" s="10"/>
      <c r="K126" s="10"/>
      <c r="L126" s="9"/>
    </row>
    <row r="127" spans="1:12" ht="5.15" customHeight="1" x14ac:dyDescent="0.3">
      <c r="A127" s="5"/>
      <c r="B127" s="127"/>
      <c r="C127" s="113"/>
      <c r="D127" s="5"/>
      <c r="E127" s="18"/>
      <c r="F127" s="18"/>
      <c r="G127" s="18"/>
      <c r="H127" s="5"/>
      <c r="I127" s="5"/>
      <c r="J127" s="5"/>
      <c r="K127" s="5"/>
      <c r="L127" s="14"/>
    </row>
    <row r="128" spans="1:12" ht="15.75" customHeight="1" x14ac:dyDescent="0.3">
      <c r="A128" s="5"/>
      <c r="B128" s="127"/>
      <c r="C128" s="113"/>
      <c r="D128" s="19" t="s">
        <v>24</v>
      </c>
      <c r="E128" s="18"/>
      <c r="F128" s="18"/>
      <c r="G128" s="18"/>
      <c r="H128" s="5"/>
      <c r="I128" s="5"/>
      <c r="J128" s="5"/>
      <c r="K128" s="5"/>
      <c r="L128" s="14"/>
    </row>
    <row r="129" spans="1:12" ht="22" customHeight="1" x14ac:dyDescent="0.3">
      <c r="A129" s="5"/>
      <c r="B129" s="127"/>
      <c r="C129" s="15"/>
      <c r="D129" s="5"/>
      <c r="E129" s="5"/>
      <c r="F129" s="5"/>
      <c r="G129" s="5"/>
      <c r="H129" s="5"/>
      <c r="I129" s="5"/>
      <c r="J129" s="5"/>
      <c r="K129" s="5"/>
      <c r="L129" s="14"/>
    </row>
    <row r="130" spans="1:12" ht="5.15" customHeight="1" x14ac:dyDescent="0.3">
      <c r="A130" s="5"/>
      <c r="B130" s="128"/>
      <c r="C130" s="34"/>
      <c r="D130" s="10"/>
      <c r="E130" s="10"/>
      <c r="F130" s="10"/>
      <c r="G130" s="10"/>
      <c r="H130" s="10"/>
      <c r="I130" s="10"/>
      <c r="J130" s="10"/>
      <c r="K130" s="10"/>
      <c r="L130" s="9"/>
    </row>
    <row r="131" spans="1:12" x14ac:dyDescent="0.3">
      <c r="A131" s="5"/>
      <c r="B131" s="5"/>
      <c r="C131" s="5"/>
      <c r="D131" s="5"/>
      <c r="E131" s="5"/>
      <c r="F131" s="5"/>
      <c r="G131" s="5"/>
      <c r="H131" s="5"/>
      <c r="I131" s="5"/>
      <c r="J131" s="5"/>
      <c r="K131" s="5"/>
      <c r="L131" s="5"/>
    </row>
    <row r="132" spans="1:12" x14ac:dyDescent="0.3">
      <c r="A132" s="5"/>
      <c r="B132" s="5"/>
      <c r="C132" s="5"/>
      <c r="D132" s="5"/>
      <c r="E132" s="5"/>
      <c r="F132" s="5"/>
      <c r="G132" s="5"/>
      <c r="H132" s="5"/>
      <c r="I132" s="5"/>
      <c r="J132" s="5"/>
      <c r="K132" s="5"/>
      <c r="L132" s="5"/>
    </row>
    <row r="133" spans="1:12" ht="28.4" customHeight="1" x14ac:dyDescent="0.3">
      <c r="A133" s="5"/>
      <c r="B133" s="5"/>
      <c r="C133" s="5"/>
      <c r="D133" s="5"/>
      <c r="E133" s="5"/>
      <c r="F133" s="5"/>
      <c r="G133" s="5"/>
      <c r="H133" s="5"/>
      <c r="I133" s="5"/>
      <c r="J133" s="5"/>
      <c r="K133" s="5"/>
      <c r="L133" s="5"/>
    </row>
    <row r="134" spans="1:12" ht="28.4" customHeight="1" x14ac:dyDescent="0.3">
      <c r="A134" s="5"/>
      <c r="B134" s="5"/>
      <c r="C134" s="5"/>
      <c r="D134" s="5"/>
      <c r="E134" s="5"/>
      <c r="F134" s="5"/>
      <c r="G134" s="5"/>
      <c r="H134" s="5"/>
      <c r="I134" s="5"/>
      <c r="J134" s="5"/>
      <c r="K134" s="5"/>
      <c r="L134" s="5"/>
    </row>
    <row r="135" spans="1:12" ht="18" customHeight="1" x14ac:dyDescent="0.3">
      <c r="A135" s="5"/>
      <c r="B135" s="5"/>
      <c r="C135" s="5"/>
      <c r="D135" s="5"/>
      <c r="E135" s="5"/>
      <c r="F135" s="5"/>
      <c r="G135" s="5"/>
      <c r="H135" s="5"/>
      <c r="I135" s="5"/>
      <c r="J135" s="5"/>
      <c r="K135" s="5"/>
      <c r="L135" s="5"/>
    </row>
    <row r="136" spans="1:12" ht="17.149999999999999" customHeight="1" x14ac:dyDescent="0.3">
      <c r="A136" s="5"/>
      <c r="B136" s="5"/>
      <c r="C136" s="5"/>
      <c r="D136" s="5"/>
      <c r="E136" s="5"/>
      <c r="F136" s="5"/>
      <c r="G136" s="5"/>
      <c r="H136" s="5"/>
      <c r="I136" s="5"/>
      <c r="J136" s="5"/>
      <c r="K136" s="5"/>
      <c r="L136" s="5"/>
    </row>
    <row r="137" spans="1:12" ht="5.15" customHeight="1" x14ac:dyDescent="0.3">
      <c r="A137" s="5"/>
      <c r="B137" s="5"/>
      <c r="C137" s="5"/>
      <c r="D137" s="5"/>
      <c r="E137" s="5"/>
      <c r="F137" s="5"/>
      <c r="G137" s="5"/>
      <c r="H137" s="5"/>
      <c r="I137" s="5"/>
      <c r="J137" s="5"/>
      <c r="K137" s="5"/>
      <c r="L137" s="5"/>
    </row>
    <row r="138" spans="1:12" ht="15.75" customHeight="1" x14ac:dyDescent="0.3"/>
    <row r="139" spans="1:12" ht="5.15" customHeight="1" x14ac:dyDescent="0.3"/>
    <row r="140" spans="1:12" ht="5.15" customHeight="1" x14ac:dyDescent="0.3"/>
    <row r="141" spans="1:12" ht="15.75" customHeight="1" x14ac:dyDescent="0.3"/>
    <row r="142" spans="1:12" ht="5.15" customHeight="1" x14ac:dyDescent="0.3"/>
  </sheetData>
  <sheetProtection algorithmName="SHA-512" hashValue="oohxL6BxpU7WiZz5Cp6+MVQ1brNxginL5+8b7+/V0DAFKnwifc9tjvyV+OD6QIztymv2T4h/KZ3cBW3bjy8BsQ==" saltValue="WHlbKNRdyazRz1nX0PWvVw==" spinCount="100000" sheet="1" objects="1" scenarios="1" formatCells="0" formatColumns="0" formatRows="0"/>
  <mergeCells count="59">
    <mergeCell ref="B1:L1"/>
    <mergeCell ref="B5:L5"/>
    <mergeCell ref="B6:L6"/>
    <mergeCell ref="B7:B27"/>
    <mergeCell ref="Q7:Q19"/>
    <mergeCell ref="E9:G9"/>
    <mergeCell ref="I9:K9"/>
    <mergeCell ref="C10:C12"/>
    <mergeCell ref="C13:C15"/>
    <mergeCell ref="C16:C17"/>
    <mergeCell ref="D16:D17"/>
    <mergeCell ref="Q22:Q29"/>
    <mergeCell ref="B28:B48"/>
    <mergeCell ref="E30:G30"/>
    <mergeCell ref="I30:K30"/>
    <mergeCell ref="C31:C33"/>
    <mergeCell ref="Q33:Q39"/>
    <mergeCell ref="C34:C36"/>
    <mergeCell ref="C37:C38"/>
    <mergeCell ref="D37:D38"/>
    <mergeCell ref="B52:L52"/>
    <mergeCell ref="B53:L53"/>
    <mergeCell ref="B54:B74"/>
    <mergeCell ref="E55:G55"/>
    <mergeCell ref="I55:K55"/>
    <mergeCell ref="C56:C58"/>
    <mergeCell ref="C59:C61"/>
    <mergeCell ref="C62:C64"/>
    <mergeCell ref="C65:C67"/>
    <mergeCell ref="C68:C70"/>
    <mergeCell ref="C71:C72"/>
    <mergeCell ref="B75:B98"/>
    <mergeCell ref="E76:G76"/>
    <mergeCell ref="I76:K76"/>
    <mergeCell ref="C77:C79"/>
    <mergeCell ref="C80:C82"/>
    <mergeCell ref="C83:C85"/>
    <mergeCell ref="C86:C88"/>
    <mergeCell ref="C89:C91"/>
    <mergeCell ref="C92:C93"/>
    <mergeCell ref="B121:L121"/>
    <mergeCell ref="B101:L101"/>
    <mergeCell ref="B102:L102"/>
    <mergeCell ref="B103:B110"/>
    <mergeCell ref="E104:G104"/>
    <mergeCell ref="I104:K104"/>
    <mergeCell ref="C105:C107"/>
    <mergeCell ref="C108:C110"/>
    <mergeCell ref="B111:B118"/>
    <mergeCell ref="E112:G112"/>
    <mergeCell ref="I112:K112"/>
    <mergeCell ref="C113:C115"/>
    <mergeCell ref="C116:C118"/>
    <mergeCell ref="B122:B130"/>
    <mergeCell ref="E123:G123"/>
    <mergeCell ref="H123:L123"/>
    <mergeCell ref="C124:C126"/>
    <mergeCell ref="H125:L125"/>
    <mergeCell ref="C127:C128"/>
  </mergeCells>
  <conditionalFormatting sqref="F95">
    <cfRule type="cellIs" dxfId="69" priority="1" operator="equal">
      <formula>1</formula>
    </cfRule>
    <cfRule type="cellIs" dxfId="68" priority="2" operator="notEqual">
      <formula>1</formula>
    </cfRule>
  </conditionalFormatting>
  <pageMargins left="0.7" right="0.7" top="0.75" bottom="0.75" header="0.3" footer="0.3"/>
  <pageSetup orientation="portrait" r:id="rId1"/>
  <headerFooter>
    <oddFooter>&amp;C_x000D_&amp;1#&amp;"Calibri"&amp;10&amp;K000000 Restricted : General Al-Futtaim Group</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6385" r:id="rId6" name="cbApplyLevelFormatting">
          <controlPr defaultSize="0" autoFill="0" autoLine="0" r:id="rId7">
            <anchor moveWithCells="1">
              <from>
                <xdr:col>7</xdr:col>
                <xdr:colOff>1485900</xdr:colOff>
                <xdr:row>4</xdr:row>
                <xdr:rowOff>69850</xdr:rowOff>
              </from>
              <to>
                <xdr:col>7</xdr:col>
                <xdr:colOff>1612900</xdr:colOff>
                <xdr:row>4</xdr:row>
                <xdr:rowOff>342900</xdr:rowOff>
              </to>
            </anchor>
          </controlPr>
        </control>
      </mc:Choice>
      <mc:Fallback>
        <control shapeId="16385" r:id="rId6" name="cbApplyLevelFormatting"/>
      </mc:Fallback>
    </mc:AlternateContent>
    <mc:AlternateContent xmlns:mc="http://schemas.openxmlformats.org/markup-compatibility/2006">
      <mc:Choice Requires="x14">
        <control shapeId="16411" r:id="rId8" name="cbApplyMemberFormatting">
          <controlPr defaultSize="0" autoFill="0" autoLine="0" r:id="rId7">
            <anchor moveWithCells="1">
              <from>
                <xdr:col>9</xdr:col>
                <xdr:colOff>381000</xdr:colOff>
                <xdr:row>51</xdr:row>
                <xdr:rowOff>69850</xdr:rowOff>
              </from>
              <to>
                <xdr:col>9</xdr:col>
                <xdr:colOff>508000</xdr:colOff>
                <xdr:row>51</xdr:row>
                <xdr:rowOff>342900</xdr:rowOff>
              </to>
            </anchor>
          </controlPr>
        </control>
      </mc:Choice>
      <mc:Fallback>
        <control shapeId="16411" r:id="rId8" name="cbApplyMemberFormatting"/>
      </mc:Fallback>
    </mc:AlternateContent>
    <mc:AlternateContent xmlns:mc="http://schemas.openxmlformats.org/markup-compatibility/2006">
      <mc:Choice Requires="x14">
        <control shapeId="16429" r:id="rId9" name="cbApplyOddEvenFormatting">
          <controlPr defaultSize="0" autoFill="0" autoLine="0" r:id="rId10">
            <anchor moveWithCells="1">
              <from>
                <xdr:col>7</xdr:col>
                <xdr:colOff>1676400</xdr:colOff>
                <xdr:row>100</xdr:row>
                <xdr:rowOff>69850</xdr:rowOff>
              </from>
              <to>
                <xdr:col>7</xdr:col>
                <xdr:colOff>1803400</xdr:colOff>
                <xdr:row>100</xdr:row>
                <xdr:rowOff>342900</xdr:rowOff>
              </to>
            </anchor>
          </controlPr>
        </control>
      </mc:Choice>
      <mc:Fallback>
        <control shapeId="16429" r:id="rId9" name="cbApplyOddEvenFormatting"/>
      </mc:Fallback>
    </mc:AlternateContent>
    <mc:AlternateContent xmlns:mc="http://schemas.openxmlformats.org/markup-compatibility/2006">
      <mc:Choice Requires="x14">
        <control shapeId="16437" r:id="rId11" name="cbApplyPageHeaderFormatting">
          <controlPr defaultSize="0" autoFill="0" autoLine="0" r:id="rId10">
            <anchor moveWithCells="1">
              <from>
                <xdr:col>7</xdr:col>
                <xdr:colOff>1524000</xdr:colOff>
                <xdr:row>120</xdr:row>
                <xdr:rowOff>69850</xdr:rowOff>
              </from>
              <to>
                <xdr:col>7</xdr:col>
                <xdr:colOff>1651000</xdr:colOff>
                <xdr:row>120</xdr:row>
                <xdr:rowOff>342900</xdr:rowOff>
              </to>
            </anchor>
          </controlPr>
        </control>
      </mc:Choice>
      <mc:Fallback>
        <control shapeId="16437" r:id="rId11" name="cbApplyPageHeaderFormatting"/>
      </mc:Fallback>
    </mc:AlternateContent>
    <mc:AlternateContent xmlns:mc="http://schemas.openxmlformats.org/markup-compatibility/2006">
      <mc:Choice Requires="x14">
        <control shapeId="16386" r:id="rId12" name="Group Box 2">
          <controlPr defaultSize="0" autoPict="0">
            <anchor moveWithCells="1">
              <from>
                <xdr:col>1</xdr:col>
                <xdr:colOff>0</xdr:colOff>
                <xdr:row>5</xdr:row>
                <xdr:rowOff>0</xdr:rowOff>
              </from>
              <to>
                <xdr:col>3</xdr:col>
                <xdr:colOff>2724150</xdr:colOff>
                <xdr:row>6</xdr:row>
                <xdr:rowOff>0</xdr:rowOff>
              </to>
            </anchor>
          </controlPr>
        </control>
      </mc:Choice>
    </mc:AlternateContent>
    <mc:AlternateContent xmlns:mc="http://schemas.openxmlformats.org/markup-compatibility/2006">
      <mc:Choice Requires="x14">
        <control shapeId="16387" r:id="rId13" name="obLevelRowFirst">
          <controlPr defaultSize="0" autoFill="0" autoLine="0" autoPict="0" macro="_xll.FPMXLClient.TechnicalCategory.ButtonActionInEPMClientFormattingSheet">
            <anchor moveWithCells="1">
              <from>
                <xdr:col>3</xdr:col>
                <xdr:colOff>412750</xdr:colOff>
                <xdr:row>5</xdr:row>
                <xdr:rowOff>69850</xdr:rowOff>
              </from>
              <to>
                <xdr:col>3</xdr:col>
                <xdr:colOff>2533650</xdr:colOff>
                <xdr:row>5</xdr:row>
                <xdr:rowOff>298450</xdr:rowOff>
              </to>
            </anchor>
          </controlPr>
        </control>
      </mc:Choice>
    </mc:AlternateContent>
    <mc:AlternateContent xmlns:mc="http://schemas.openxmlformats.org/markup-compatibility/2006">
      <mc:Choice Requires="x14">
        <control shapeId="16388" r:id="rId14" name="obLevelColumnFirst">
          <controlPr defaultSize="0" autoFill="0" autoLine="0" autoPict="0" macro="_xll.FPMXLClient.TechnicalCategory.ButtonActionInEPMClientFormattingSheet">
            <anchor moveWithCells="1">
              <from>
                <xdr:col>1</xdr:col>
                <xdr:colOff>222250</xdr:colOff>
                <xdr:row>5</xdr:row>
                <xdr:rowOff>69850</xdr:rowOff>
              </from>
              <to>
                <xdr:col>3</xdr:col>
                <xdr:colOff>374650</xdr:colOff>
                <xdr:row>5</xdr:row>
                <xdr:rowOff>298450</xdr:rowOff>
              </to>
            </anchor>
          </controlPr>
        </control>
      </mc:Choice>
    </mc:AlternateContent>
    <mc:AlternateContent xmlns:mc="http://schemas.openxmlformats.org/markup-compatibility/2006">
      <mc:Choice Requires="x14">
        <control shapeId="16389" r:id="rId15" name="Group Box 5">
          <controlPr defaultSize="0" autoPict="0">
            <anchor moveWithCells="1">
              <from>
                <xdr:col>3</xdr:col>
                <xdr:colOff>2679700</xdr:colOff>
                <xdr:row>5</xdr:row>
                <xdr:rowOff>0</xdr:rowOff>
              </from>
              <to>
                <xdr:col>9</xdr:col>
                <xdr:colOff>717550</xdr:colOff>
                <xdr:row>6</xdr:row>
                <xdr:rowOff>0</xdr:rowOff>
              </to>
            </anchor>
          </controlPr>
        </control>
      </mc:Choice>
    </mc:AlternateContent>
    <mc:AlternateContent xmlns:mc="http://schemas.openxmlformats.org/markup-compatibility/2006">
      <mc:Choice Requires="x14">
        <control shapeId="16390" r:id="rId16" name="obRelativeLevelHierarchy">
          <controlPr defaultSize="0" autoFill="0" autoLine="0" autoPict="0" macro="_xll.FPMXLClient.TechnicalCategory.ButtonActionInEPMClientFormattingSheet">
            <anchor moveWithCells="1">
              <from>
                <xdr:col>3</xdr:col>
                <xdr:colOff>4146550</xdr:colOff>
                <xdr:row>5</xdr:row>
                <xdr:rowOff>69850</xdr:rowOff>
              </from>
              <to>
                <xdr:col>5</xdr:col>
                <xdr:colOff>850900</xdr:colOff>
                <xdr:row>5</xdr:row>
                <xdr:rowOff>298450</xdr:rowOff>
              </to>
            </anchor>
          </controlPr>
        </control>
      </mc:Choice>
    </mc:AlternateContent>
    <mc:AlternateContent xmlns:mc="http://schemas.openxmlformats.org/markup-compatibility/2006">
      <mc:Choice Requires="x14">
        <control shapeId="16391" r:id="rId17" name="obDatabaseLevelHierarchy">
          <controlPr defaultSize="0" autoFill="0" autoLine="0" autoPict="0" macro="_xll.FPMXLClient.TechnicalCategory.ButtonActionInEPMClientFormattingSheet">
            <anchor moveWithCells="1">
              <from>
                <xdr:col>3</xdr:col>
                <xdr:colOff>2698750</xdr:colOff>
                <xdr:row>5</xdr:row>
                <xdr:rowOff>69850</xdr:rowOff>
              </from>
              <to>
                <xdr:col>3</xdr:col>
                <xdr:colOff>4127500</xdr:colOff>
                <xdr:row>5</xdr:row>
                <xdr:rowOff>298450</xdr:rowOff>
              </to>
            </anchor>
          </controlPr>
        </control>
      </mc:Choice>
    </mc:AlternateContent>
    <mc:AlternateContent xmlns:mc="http://schemas.openxmlformats.org/markup-compatibility/2006">
      <mc:Choice Requires="x14">
        <control shapeId="16392" r:id="rId18" name="cbApplyLevelFromTopToBottom">
          <controlPr defaultSize="0" autoFill="0" autoLine="0" autoPict="0">
            <anchor moveWithCells="1">
              <from>
                <xdr:col>5</xdr:col>
                <xdr:colOff>914400</xdr:colOff>
                <xdr:row>5</xdr:row>
                <xdr:rowOff>0</xdr:rowOff>
              </from>
              <to>
                <xdr:col>12</xdr:col>
                <xdr:colOff>0</xdr:colOff>
                <xdr:row>5</xdr:row>
                <xdr:rowOff>336550</xdr:rowOff>
              </to>
            </anchor>
          </controlPr>
        </control>
      </mc:Choice>
    </mc:AlternateContent>
    <mc:AlternateContent xmlns:mc="http://schemas.openxmlformats.org/markup-compatibility/2006">
      <mc:Choice Requires="x14">
        <control shapeId="16393" r:id="rId19" name="LVL1tbFormattingByLevel">
          <controlPr defaultSize="0" autoFill="0" autoPict="0">
            <anchor moveWithCells="1" sizeWithCells="1">
              <from>
                <xdr:col>10</xdr:col>
                <xdr:colOff>31750</xdr:colOff>
                <xdr:row>6</xdr:row>
                <xdr:rowOff>146050</xdr:rowOff>
              </from>
              <to>
                <xdr:col>11</xdr:col>
                <xdr:colOff>1193800</xdr:colOff>
                <xdr:row>7</xdr:row>
                <xdr:rowOff>133350</xdr:rowOff>
              </to>
            </anchor>
          </controlPr>
        </control>
      </mc:Choice>
    </mc:AlternateContent>
    <mc:AlternateContent xmlns:mc="http://schemas.openxmlformats.org/markup-compatibility/2006">
      <mc:Choice Requires="x14">
        <control shapeId="16394" r:id="rId20" name="Group Box 10">
          <controlPr defaultSize="0" autoPict="0">
            <anchor moveWithCells="1">
              <from>
                <xdr:col>10</xdr:col>
                <xdr:colOff>222250</xdr:colOff>
                <xdr:row>6</xdr:row>
                <xdr:rowOff>0</xdr:rowOff>
              </from>
              <to>
                <xdr:col>12</xdr:col>
                <xdr:colOff>0</xdr:colOff>
                <xdr:row>8</xdr:row>
                <xdr:rowOff>12700</xdr:rowOff>
              </to>
            </anchor>
          </controlPr>
        </control>
      </mc:Choice>
    </mc:AlternateContent>
    <mc:AlternateContent xmlns:mc="http://schemas.openxmlformats.org/markup-compatibility/2006">
      <mc:Choice Requires="x14">
        <control shapeId="16395" r:id="rId21" name="obLevelOuterFirst">
          <controlPr defaultSize="0" autoFill="0" autoLine="0" autoPict="0">
            <anchor moveWithCells="1">
              <from>
                <xdr:col>11</xdr:col>
                <xdr:colOff>914400</xdr:colOff>
                <xdr:row>6</xdr:row>
                <xdr:rowOff>228600</xdr:rowOff>
              </from>
              <to>
                <xdr:col>11</xdr:col>
                <xdr:colOff>2165350</xdr:colOff>
                <xdr:row>7</xdr:row>
                <xdr:rowOff>171450</xdr:rowOff>
              </to>
            </anchor>
          </controlPr>
        </control>
      </mc:Choice>
    </mc:AlternateContent>
    <mc:AlternateContent xmlns:mc="http://schemas.openxmlformats.org/markup-compatibility/2006">
      <mc:Choice Requires="x14">
        <control shapeId="16396" r:id="rId22" name="obLevelInnerFirst">
          <controlPr defaultSize="0" autoFill="0" autoLine="0" autoPict="0">
            <anchor moveWithCells="1">
              <from>
                <xdr:col>11</xdr:col>
                <xdr:colOff>914400</xdr:colOff>
                <xdr:row>6</xdr:row>
                <xdr:rowOff>31750</xdr:rowOff>
              </from>
              <to>
                <xdr:col>11</xdr:col>
                <xdr:colOff>2165350</xdr:colOff>
                <xdr:row>6</xdr:row>
                <xdr:rowOff>241300</xdr:rowOff>
              </to>
            </anchor>
          </controlPr>
        </control>
      </mc:Choice>
    </mc:AlternateContent>
    <mc:AlternateContent xmlns:mc="http://schemas.openxmlformats.org/markup-compatibility/2006">
      <mc:Choice Requires="x14">
        <control shapeId="16397" r:id="rId23" name="cbUseDefaultLevelFirst">
          <controlPr defaultSize="0" autoFill="0" autoLine="0" autoPict="0">
            <anchor moveWithCells="1">
              <from>
                <xdr:col>2</xdr:col>
                <xdr:colOff>127000</xdr:colOff>
                <xdr:row>9</xdr:row>
                <xdr:rowOff>12700</xdr:rowOff>
              </from>
              <to>
                <xdr:col>3</xdr:col>
                <xdr:colOff>0</xdr:colOff>
                <xdr:row>11</xdr:row>
                <xdr:rowOff>50800</xdr:rowOff>
              </to>
            </anchor>
          </controlPr>
        </control>
      </mc:Choice>
    </mc:AlternateContent>
    <mc:AlternateContent xmlns:mc="http://schemas.openxmlformats.org/markup-compatibility/2006">
      <mc:Choice Requires="x14">
        <control shapeId="16398" r:id="rId24" name="cbUseLeafLevelFirst">
          <controlPr defaultSize="0" autoFill="0" autoLine="0" autoPict="0">
            <anchor moveWithCells="1">
              <from>
                <xdr:col>2</xdr:col>
                <xdr:colOff>127000</xdr:colOff>
                <xdr:row>12</xdr:row>
                <xdr:rowOff>0</xdr:rowOff>
              </from>
              <to>
                <xdr:col>3</xdr:col>
                <xdr:colOff>0</xdr:colOff>
                <xdr:row>14</xdr:row>
                <xdr:rowOff>50800</xdr:rowOff>
              </to>
            </anchor>
          </controlPr>
        </control>
      </mc:Choice>
    </mc:AlternateContent>
    <mc:AlternateContent xmlns:mc="http://schemas.openxmlformats.org/markup-compatibility/2006">
      <mc:Choice Requires="x14">
        <control shapeId="16399" r:id="rId25" name="cbUseSpecificLevelFirst">
          <controlPr defaultSize="0" autoFill="0" autoLine="0" autoPict="0">
            <anchor moveWithCells="1">
              <from>
                <xdr:col>2</xdr:col>
                <xdr:colOff>127000</xdr:colOff>
                <xdr:row>15</xdr:row>
                <xdr:rowOff>31750</xdr:rowOff>
              </from>
              <to>
                <xdr:col>3</xdr:col>
                <xdr:colOff>0</xdr:colOff>
                <xdr:row>16</xdr:row>
                <xdr:rowOff>107950</xdr:rowOff>
              </to>
            </anchor>
          </controlPr>
        </control>
      </mc:Choice>
    </mc:AlternateContent>
    <mc:AlternateContent xmlns:mc="http://schemas.openxmlformats.org/markup-compatibility/2006">
      <mc:Choice Requires="x14">
        <control shapeId="16400" r:id="rId26" name="AddLevelFirst">
          <controlPr defaultSize="0" print="0" autoFill="0" autoPict="0" macro="_xll.FPMXLClient.TechnicalCategory.ButtonActionInEPMClientFormattingSheet">
            <anchor moveWithCells="1">
              <from>
                <xdr:col>3</xdr:col>
                <xdr:colOff>57150</xdr:colOff>
                <xdr:row>25</xdr:row>
                <xdr:rowOff>31750</xdr:rowOff>
              </from>
              <to>
                <xdr:col>3</xdr:col>
                <xdr:colOff>2228850</xdr:colOff>
                <xdr:row>26</xdr:row>
                <xdr:rowOff>0</xdr:rowOff>
              </to>
            </anchor>
          </controlPr>
        </control>
      </mc:Choice>
    </mc:AlternateContent>
    <mc:AlternateContent xmlns:mc="http://schemas.openxmlformats.org/markup-compatibility/2006">
      <mc:Choice Requires="x14">
        <control shapeId="16401" r:id="rId27" name="RemoveLevelFirst">
          <controlPr defaultSize="0" print="0" autoFill="0" autoPict="0" macro="_xll.FPMXLClient.TechnicalCategory.ButtonActionInEPMClientFormattingSheet">
            <anchor moveWithCells="1">
              <from>
                <xdr:col>3</xdr:col>
                <xdr:colOff>2336800</xdr:colOff>
                <xdr:row>25</xdr:row>
                <xdr:rowOff>31750</xdr:rowOff>
              </from>
              <to>
                <xdr:col>4</xdr:col>
                <xdr:colOff>0</xdr:colOff>
                <xdr:row>26</xdr:row>
                <xdr:rowOff>0</xdr:rowOff>
              </to>
            </anchor>
          </controlPr>
        </control>
      </mc:Choice>
    </mc:AlternateContent>
    <mc:AlternateContent xmlns:mc="http://schemas.openxmlformats.org/markup-compatibility/2006">
      <mc:Choice Requires="x14">
        <control shapeId="16402" r:id="rId28" name="LVL2tbFormattingByLevel">
          <controlPr defaultSize="0" autoFill="0" autoPict="0">
            <anchor moveWithCells="1" sizeWithCells="1">
              <from>
                <xdr:col>10</xdr:col>
                <xdr:colOff>31750</xdr:colOff>
                <xdr:row>27</xdr:row>
                <xdr:rowOff>146050</xdr:rowOff>
              </from>
              <to>
                <xdr:col>11</xdr:col>
                <xdr:colOff>1193800</xdr:colOff>
                <xdr:row>28</xdr:row>
                <xdr:rowOff>133350</xdr:rowOff>
              </to>
            </anchor>
          </controlPr>
        </control>
      </mc:Choice>
    </mc:AlternateContent>
    <mc:AlternateContent xmlns:mc="http://schemas.openxmlformats.org/markup-compatibility/2006">
      <mc:Choice Requires="x14">
        <control shapeId="16403" r:id="rId29" name="Group Box 19">
          <controlPr defaultSize="0" autoPict="0">
            <anchor moveWithCells="1">
              <from>
                <xdr:col>10</xdr:col>
                <xdr:colOff>222250</xdr:colOff>
                <xdr:row>27</xdr:row>
                <xdr:rowOff>0</xdr:rowOff>
              </from>
              <to>
                <xdr:col>12</xdr:col>
                <xdr:colOff>0</xdr:colOff>
                <xdr:row>29</xdr:row>
                <xdr:rowOff>12700</xdr:rowOff>
              </to>
            </anchor>
          </controlPr>
        </control>
      </mc:Choice>
    </mc:AlternateContent>
    <mc:AlternateContent xmlns:mc="http://schemas.openxmlformats.org/markup-compatibility/2006">
      <mc:Choice Requires="x14">
        <control shapeId="16404" r:id="rId30" name="obLevelOuterSecond">
          <controlPr defaultSize="0" autoFill="0" autoLine="0" autoPict="0">
            <anchor moveWithCells="1">
              <from>
                <xdr:col>11</xdr:col>
                <xdr:colOff>914400</xdr:colOff>
                <xdr:row>27</xdr:row>
                <xdr:rowOff>228600</xdr:rowOff>
              </from>
              <to>
                <xdr:col>11</xdr:col>
                <xdr:colOff>2165350</xdr:colOff>
                <xdr:row>28</xdr:row>
                <xdr:rowOff>171450</xdr:rowOff>
              </to>
            </anchor>
          </controlPr>
        </control>
      </mc:Choice>
    </mc:AlternateContent>
    <mc:AlternateContent xmlns:mc="http://schemas.openxmlformats.org/markup-compatibility/2006">
      <mc:Choice Requires="x14">
        <control shapeId="16405" r:id="rId31" name="obLevelInnerSecond">
          <controlPr defaultSize="0" autoFill="0" autoLine="0" autoPict="0">
            <anchor moveWithCells="1">
              <from>
                <xdr:col>11</xdr:col>
                <xdr:colOff>914400</xdr:colOff>
                <xdr:row>27</xdr:row>
                <xdr:rowOff>31750</xdr:rowOff>
              </from>
              <to>
                <xdr:col>11</xdr:col>
                <xdr:colOff>2165350</xdr:colOff>
                <xdr:row>27</xdr:row>
                <xdr:rowOff>241300</xdr:rowOff>
              </to>
            </anchor>
          </controlPr>
        </control>
      </mc:Choice>
    </mc:AlternateContent>
    <mc:AlternateContent xmlns:mc="http://schemas.openxmlformats.org/markup-compatibility/2006">
      <mc:Choice Requires="x14">
        <control shapeId="16406" r:id="rId32" name="cbUseDefaultLevelSecond">
          <controlPr defaultSize="0" autoFill="0" autoLine="0" autoPict="0">
            <anchor moveWithCells="1">
              <from>
                <xdr:col>2</xdr:col>
                <xdr:colOff>127000</xdr:colOff>
                <xdr:row>30</xdr:row>
                <xdr:rowOff>12700</xdr:rowOff>
              </from>
              <to>
                <xdr:col>3</xdr:col>
                <xdr:colOff>0</xdr:colOff>
                <xdr:row>32</xdr:row>
                <xdr:rowOff>50800</xdr:rowOff>
              </to>
            </anchor>
          </controlPr>
        </control>
      </mc:Choice>
    </mc:AlternateContent>
    <mc:AlternateContent xmlns:mc="http://schemas.openxmlformats.org/markup-compatibility/2006">
      <mc:Choice Requires="x14">
        <control shapeId="16407" r:id="rId33" name="cbUseLeafLevelSecond">
          <controlPr defaultSize="0" autoFill="0" autoLine="0" autoPict="0">
            <anchor moveWithCells="1">
              <from>
                <xdr:col>2</xdr:col>
                <xdr:colOff>127000</xdr:colOff>
                <xdr:row>33</xdr:row>
                <xdr:rowOff>0</xdr:rowOff>
              </from>
              <to>
                <xdr:col>3</xdr:col>
                <xdr:colOff>0</xdr:colOff>
                <xdr:row>35</xdr:row>
                <xdr:rowOff>50800</xdr:rowOff>
              </to>
            </anchor>
          </controlPr>
        </control>
      </mc:Choice>
    </mc:AlternateContent>
    <mc:AlternateContent xmlns:mc="http://schemas.openxmlformats.org/markup-compatibility/2006">
      <mc:Choice Requires="x14">
        <control shapeId="16408" r:id="rId34" name="cbUseSpecificLevelSecond">
          <controlPr defaultSize="0" autoFill="0" autoLine="0" autoPict="0">
            <anchor moveWithCells="1">
              <from>
                <xdr:col>2</xdr:col>
                <xdr:colOff>127000</xdr:colOff>
                <xdr:row>36</xdr:row>
                <xdr:rowOff>31750</xdr:rowOff>
              </from>
              <to>
                <xdr:col>3</xdr:col>
                <xdr:colOff>0</xdr:colOff>
                <xdr:row>37</xdr:row>
                <xdr:rowOff>107950</xdr:rowOff>
              </to>
            </anchor>
          </controlPr>
        </control>
      </mc:Choice>
    </mc:AlternateContent>
    <mc:AlternateContent xmlns:mc="http://schemas.openxmlformats.org/markup-compatibility/2006">
      <mc:Choice Requires="x14">
        <control shapeId="16409" r:id="rId35" name="AddLevelSecond">
          <controlPr defaultSize="0" print="0" autoFill="0" autoPict="0" macro="_xll.FPMXLClient.TechnicalCategory.ButtonActionInEPMClientFormattingSheet">
            <anchor moveWithCells="1">
              <from>
                <xdr:col>3</xdr:col>
                <xdr:colOff>57150</xdr:colOff>
                <xdr:row>46</xdr:row>
                <xdr:rowOff>31750</xdr:rowOff>
              </from>
              <to>
                <xdr:col>3</xdr:col>
                <xdr:colOff>2228850</xdr:colOff>
                <xdr:row>47</xdr:row>
                <xdr:rowOff>0</xdr:rowOff>
              </to>
            </anchor>
          </controlPr>
        </control>
      </mc:Choice>
    </mc:AlternateContent>
    <mc:AlternateContent xmlns:mc="http://schemas.openxmlformats.org/markup-compatibility/2006">
      <mc:Choice Requires="x14">
        <control shapeId="16410" r:id="rId36" name="RemoveLevelSecond">
          <controlPr defaultSize="0" print="0" autoFill="0" autoPict="0" macro="_xll.FPMXLClient.TechnicalCategory.ButtonActionInEPMClientFormattingSheet">
            <anchor moveWithCells="1">
              <from>
                <xdr:col>3</xdr:col>
                <xdr:colOff>2336800</xdr:colOff>
                <xdr:row>46</xdr:row>
                <xdr:rowOff>31750</xdr:rowOff>
              </from>
              <to>
                <xdr:col>4</xdr:col>
                <xdr:colOff>0</xdr:colOff>
                <xdr:row>47</xdr:row>
                <xdr:rowOff>0</xdr:rowOff>
              </to>
            </anchor>
          </controlPr>
        </control>
      </mc:Choice>
    </mc:AlternateContent>
    <mc:AlternateContent xmlns:mc="http://schemas.openxmlformats.org/markup-compatibility/2006">
      <mc:Choice Requires="x14">
        <control shapeId="16412" r:id="rId37" name="Group Box 28">
          <controlPr defaultSize="0" autoPict="0">
            <anchor moveWithCells="1">
              <from>
                <xdr:col>1</xdr:col>
                <xdr:colOff>0</xdr:colOff>
                <xdr:row>52</xdr:row>
                <xdr:rowOff>12700</xdr:rowOff>
              </from>
              <to>
                <xdr:col>12</xdr:col>
                <xdr:colOff>0</xdr:colOff>
                <xdr:row>53</xdr:row>
                <xdr:rowOff>12700</xdr:rowOff>
              </to>
            </anchor>
          </controlPr>
        </control>
      </mc:Choice>
    </mc:AlternateContent>
    <mc:AlternateContent xmlns:mc="http://schemas.openxmlformats.org/markup-compatibility/2006">
      <mc:Choice Requires="x14">
        <control shapeId="16413" r:id="rId38" name="obMemberRowFirst">
          <controlPr defaultSize="0" autoFill="0" autoLine="0" autoPict="0" macro="_xll.FPMXLClient.TechnicalCategory.ButtonActionInEPMClientFormattingSheet">
            <anchor moveWithCells="1">
              <from>
                <xdr:col>3</xdr:col>
                <xdr:colOff>412750</xdr:colOff>
                <xdr:row>52</xdr:row>
                <xdr:rowOff>69850</xdr:rowOff>
              </from>
              <to>
                <xdr:col>3</xdr:col>
                <xdr:colOff>2533650</xdr:colOff>
                <xdr:row>52</xdr:row>
                <xdr:rowOff>298450</xdr:rowOff>
              </to>
            </anchor>
          </controlPr>
        </control>
      </mc:Choice>
    </mc:AlternateContent>
    <mc:AlternateContent xmlns:mc="http://schemas.openxmlformats.org/markup-compatibility/2006">
      <mc:Choice Requires="x14">
        <control shapeId="16414" r:id="rId39" name="obMemberColumnFirst">
          <controlPr defaultSize="0" autoFill="0" autoLine="0" autoPict="0" macro="_xll.FPMXLClient.TechnicalCategory.ButtonActionInEPMClientFormattingSheet">
            <anchor moveWithCells="1">
              <from>
                <xdr:col>1</xdr:col>
                <xdr:colOff>222250</xdr:colOff>
                <xdr:row>52</xdr:row>
                <xdr:rowOff>69850</xdr:rowOff>
              </from>
              <to>
                <xdr:col>3</xdr:col>
                <xdr:colOff>374650</xdr:colOff>
                <xdr:row>52</xdr:row>
                <xdr:rowOff>298450</xdr:rowOff>
              </to>
            </anchor>
          </controlPr>
        </control>
      </mc:Choice>
    </mc:AlternateContent>
    <mc:AlternateContent xmlns:mc="http://schemas.openxmlformats.org/markup-compatibility/2006">
      <mc:Choice Requires="x14">
        <control shapeId="16415" r:id="rId40" name="cbApplyCustomMemberDefaultFirst">
          <controlPr defaultSize="0" autoFill="0" autoLine="0" autoPict="0">
            <anchor moveWithCells="1">
              <from>
                <xdr:col>2</xdr:col>
                <xdr:colOff>127000</xdr:colOff>
                <xdr:row>54</xdr:row>
                <xdr:rowOff>209550</xdr:rowOff>
              </from>
              <to>
                <xdr:col>3</xdr:col>
                <xdr:colOff>0</xdr:colOff>
                <xdr:row>57</xdr:row>
                <xdr:rowOff>38100</xdr:rowOff>
              </to>
            </anchor>
          </controlPr>
        </control>
      </mc:Choice>
    </mc:AlternateContent>
    <mc:AlternateContent xmlns:mc="http://schemas.openxmlformats.org/markup-compatibility/2006">
      <mc:Choice Requires="x14">
        <control shapeId="16416" r:id="rId41" name="cbApplyCalculatedMemberFirst">
          <controlPr defaultSize="0" autoFill="0" autoLine="0" autoPict="0">
            <anchor moveWithCells="1">
              <from>
                <xdr:col>2</xdr:col>
                <xdr:colOff>127000</xdr:colOff>
                <xdr:row>58</xdr:row>
                <xdr:rowOff>0</xdr:rowOff>
              </from>
              <to>
                <xdr:col>3</xdr:col>
                <xdr:colOff>0</xdr:colOff>
                <xdr:row>60</xdr:row>
                <xdr:rowOff>50800</xdr:rowOff>
              </to>
            </anchor>
          </controlPr>
        </control>
      </mc:Choice>
    </mc:AlternateContent>
    <mc:AlternateContent xmlns:mc="http://schemas.openxmlformats.org/markup-compatibility/2006">
      <mc:Choice Requires="x14">
        <control shapeId="16417" r:id="rId42" name="cbApplyImputableMemberFirst">
          <controlPr defaultSize="0" autoFill="0" autoLine="0" autoPict="0">
            <anchor moveWithCells="1">
              <from>
                <xdr:col>2</xdr:col>
                <xdr:colOff>127000</xdr:colOff>
                <xdr:row>61</xdr:row>
                <xdr:rowOff>12700</xdr:rowOff>
              </from>
              <to>
                <xdr:col>3</xdr:col>
                <xdr:colOff>0</xdr:colOff>
                <xdr:row>63</xdr:row>
                <xdr:rowOff>50800</xdr:rowOff>
              </to>
            </anchor>
          </controlPr>
        </control>
      </mc:Choice>
    </mc:AlternateContent>
    <mc:AlternateContent xmlns:mc="http://schemas.openxmlformats.org/markup-compatibility/2006">
      <mc:Choice Requires="x14">
        <control shapeId="16418" r:id="rId43" name="cbApplyLocalMemberFirst">
          <controlPr defaultSize="0" autoFill="0" autoLine="0" autoPict="0">
            <anchor moveWithCells="1">
              <from>
                <xdr:col>2</xdr:col>
                <xdr:colOff>127000</xdr:colOff>
                <xdr:row>64</xdr:row>
                <xdr:rowOff>0</xdr:rowOff>
              </from>
              <to>
                <xdr:col>3</xdr:col>
                <xdr:colOff>0</xdr:colOff>
                <xdr:row>66</xdr:row>
                <xdr:rowOff>50800</xdr:rowOff>
              </to>
            </anchor>
          </controlPr>
        </control>
      </mc:Choice>
    </mc:AlternateContent>
    <mc:AlternateContent xmlns:mc="http://schemas.openxmlformats.org/markup-compatibility/2006">
      <mc:Choice Requires="x14">
        <control shapeId="16419" r:id="rId44" name="cbApplyChangedMemberFirst">
          <controlPr defaultSize="0" autoFill="0" autoLine="0" autoPict="0">
            <anchor moveWithCells="1">
              <from>
                <xdr:col>2</xdr:col>
                <xdr:colOff>127000</xdr:colOff>
                <xdr:row>66</xdr:row>
                <xdr:rowOff>57150</xdr:rowOff>
              </from>
              <to>
                <xdr:col>3</xdr:col>
                <xdr:colOff>0</xdr:colOff>
                <xdr:row>69</xdr:row>
                <xdr:rowOff>38100</xdr:rowOff>
              </to>
            </anchor>
          </controlPr>
        </control>
      </mc:Choice>
    </mc:AlternateContent>
    <mc:AlternateContent xmlns:mc="http://schemas.openxmlformats.org/markup-compatibility/2006">
      <mc:Choice Requires="x14">
        <control shapeId="16420" r:id="rId45" name="cbApplySpecificMemberFirst">
          <controlPr defaultSize="0" autoFill="0" autoLine="0" autoPict="0">
            <anchor moveWithCells="1">
              <from>
                <xdr:col>2</xdr:col>
                <xdr:colOff>127000</xdr:colOff>
                <xdr:row>70</xdr:row>
                <xdr:rowOff>50800</xdr:rowOff>
              </from>
              <to>
                <xdr:col>3</xdr:col>
                <xdr:colOff>0</xdr:colOff>
                <xdr:row>72</xdr:row>
                <xdr:rowOff>12700</xdr:rowOff>
              </to>
            </anchor>
          </controlPr>
        </control>
      </mc:Choice>
    </mc:AlternateContent>
    <mc:AlternateContent xmlns:mc="http://schemas.openxmlformats.org/markup-compatibility/2006">
      <mc:Choice Requires="x14">
        <control shapeId="16421" r:id="rId46" name="AddMemberFirst">
          <controlPr defaultSize="0" print="0" autoFill="0" autoPict="0" macro="_xll.FPMXLClient.TechnicalCategory.ButtonActionInEPMClientFormattingSheet">
            <anchor moveWithCells="1">
              <from>
                <xdr:col>3</xdr:col>
                <xdr:colOff>57150</xdr:colOff>
                <xdr:row>72</xdr:row>
                <xdr:rowOff>19050</xdr:rowOff>
              </from>
              <to>
                <xdr:col>4</xdr:col>
                <xdr:colOff>0</xdr:colOff>
                <xdr:row>73</xdr:row>
                <xdr:rowOff>0</xdr:rowOff>
              </to>
            </anchor>
          </controlPr>
        </control>
      </mc:Choice>
    </mc:AlternateContent>
    <mc:AlternateContent xmlns:mc="http://schemas.openxmlformats.org/markup-compatibility/2006">
      <mc:Choice Requires="x14">
        <control shapeId="16422" r:id="rId47" name="cbApplyCustomMemberDefaultSecond">
          <controlPr defaultSize="0" autoFill="0" autoLine="0" autoPict="0">
            <anchor moveWithCells="1">
              <from>
                <xdr:col>2</xdr:col>
                <xdr:colOff>127000</xdr:colOff>
                <xdr:row>76</xdr:row>
                <xdr:rowOff>0</xdr:rowOff>
              </from>
              <to>
                <xdr:col>3</xdr:col>
                <xdr:colOff>0</xdr:colOff>
                <xdr:row>78</xdr:row>
                <xdr:rowOff>50800</xdr:rowOff>
              </to>
            </anchor>
          </controlPr>
        </control>
      </mc:Choice>
    </mc:AlternateContent>
    <mc:AlternateContent xmlns:mc="http://schemas.openxmlformats.org/markup-compatibility/2006">
      <mc:Choice Requires="x14">
        <control shapeId="16423" r:id="rId48" name="cbApplyCalculatedMemberSecond">
          <controlPr defaultSize="0" autoFill="0" autoLine="0" autoPict="0">
            <anchor moveWithCells="1">
              <from>
                <xdr:col>2</xdr:col>
                <xdr:colOff>127000</xdr:colOff>
                <xdr:row>78</xdr:row>
                <xdr:rowOff>57150</xdr:rowOff>
              </from>
              <to>
                <xdr:col>3</xdr:col>
                <xdr:colOff>0</xdr:colOff>
                <xdr:row>81</xdr:row>
                <xdr:rowOff>38100</xdr:rowOff>
              </to>
            </anchor>
          </controlPr>
        </control>
      </mc:Choice>
    </mc:AlternateContent>
    <mc:AlternateContent xmlns:mc="http://schemas.openxmlformats.org/markup-compatibility/2006">
      <mc:Choice Requires="x14">
        <control shapeId="16424" r:id="rId49" name="cbApplyImputableMemberSecond">
          <controlPr defaultSize="0" autoFill="0" autoLine="0" autoPict="0">
            <anchor moveWithCells="1">
              <from>
                <xdr:col>2</xdr:col>
                <xdr:colOff>127000</xdr:colOff>
                <xdr:row>82</xdr:row>
                <xdr:rowOff>0</xdr:rowOff>
              </from>
              <to>
                <xdr:col>3</xdr:col>
                <xdr:colOff>0</xdr:colOff>
                <xdr:row>84</xdr:row>
                <xdr:rowOff>50800</xdr:rowOff>
              </to>
            </anchor>
          </controlPr>
        </control>
      </mc:Choice>
    </mc:AlternateContent>
    <mc:AlternateContent xmlns:mc="http://schemas.openxmlformats.org/markup-compatibility/2006">
      <mc:Choice Requires="x14">
        <control shapeId="16425" r:id="rId50" name="cbApplyLocalMemberSecond">
          <controlPr defaultSize="0" autoFill="0" autoLine="0" autoPict="0">
            <anchor moveWithCells="1">
              <from>
                <xdr:col>2</xdr:col>
                <xdr:colOff>127000</xdr:colOff>
                <xdr:row>85</xdr:row>
                <xdr:rowOff>12700</xdr:rowOff>
              </from>
              <to>
                <xdr:col>3</xdr:col>
                <xdr:colOff>0</xdr:colOff>
                <xdr:row>87</xdr:row>
                <xdr:rowOff>50800</xdr:rowOff>
              </to>
            </anchor>
          </controlPr>
        </control>
      </mc:Choice>
    </mc:AlternateContent>
    <mc:AlternateContent xmlns:mc="http://schemas.openxmlformats.org/markup-compatibility/2006">
      <mc:Choice Requires="x14">
        <control shapeId="16426" r:id="rId51" name="cbApplyChangedMemberSecond">
          <controlPr defaultSize="0" autoFill="0" autoLine="0" autoPict="0">
            <anchor moveWithCells="1">
              <from>
                <xdr:col>2</xdr:col>
                <xdr:colOff>127000</xdr:colOff>
                <xdr:row>88</xdr:row>
                <xdr:rowOff>0</xdr:rowOff>
              </from>
              <to>
                <xdr:col>3</xdr:col>
                <xdr:colOff>0</xdr:colOff>
                <xdr:row>90</xdr:row>
                <xdr:rowOff>50800</xdr:rowOff>
              </to>
            </anchor>
          </controlPr>
        </control>
      </mc:Choice>
    </mc:AlternateContent>
    <mc:AlternateContent xmlns:mc="http://schemas.openxmlformats.org/markup-compatibility/2006">
      <mc:Choice Requires="x14">
        <control shapeId="16427" r:id="rId52" name="cbApplySpecificMemberSecond">
          <controlPr defaultSize="0" autoFill="0" autoLine="0" autoPict="0">
            <anchor moveWithCells="1">
              <from>
                <xdr:col>2</xdr:col>
                <xdr:colOff>127000</xdr:colOff>
                <xdr:row>91</xdr:row>
                <xdr:rowOff>50800</xdr:rowOff>
              </from>
              <to>
                <xdr:col>3</xdr:col>
                <xdr:colOff>0</xdr:colOff>
                <xdr:row>93</xdr:row>
                <xdr:rowOff>0</xdr:rowOff>
              </to>
            </anchor>
          </controlPr>
        </control>
      </mc:Choice>
    </mc:AlternateContent>
    <mc:AlternateContent xmlns:mc="http://schemas.openxmlformats.org/markup-compatibility/2006">
      <mc:Choice Requires="x14">
        <control shapeId="16428" r:id="rId53" name="AddMemberSecond">
          <controlPr defaultSize="0" print="0" autoFill="0" autoPict="0" macro="_xll.FPMXLClient.TechnicalCategory.ButtonActionInEPMClientFormattingSheet">
            <anchor moveWithCells="1">
              <from>
                <xdr:col>3</xdr:col>
                <xdr:colOff>57150</xdr:colOff>
                <xdr:row>96</xdr:row>
                <xdr:rowOff>31750</xdr:rowOff>
              </from>
              <to>
                <xdr:col>4</xdr:col>
                <xdr:colOff>0</xdr:colOff>
                <xdr:row>97</xdr:row>
                <xdr:rowOff>0</xdr:rowOff>
              </to>
            </anchor>
          </controlPr>
        </control>
      </mc:Choice>
    </mc:AlternateContent>
    <mc:AlternateContent xmlns:mc="http://schemas.openxmlformats.org/markup-compatibility/2006">
      <mc:Choice Requires="x14">
        <control shapeId="16430" r:id="rId54" name="Group Box 46">
          <controlPr defaultSize="0" autoPict="0">
            <anchor moveWithCells="1">
              <from>
                <xdr:col>1</xdr:col>
                <xdr:colOff>0</xdr:colOff>
                <xdr:row>100</xdr:row>
                <xdr:rowOff>355600</xdr:rowOff>
              </from>
              <to>
                <xdr:col>12</xdr:col>
                <xdr:colOff>0</xdr:colOff>
                <xdr:row>102</xdr:row>
                <xdr:rowOff>0</xdr:rowOff>
              </to>
            </anchor>
          </controlPr>
        </control>
      </mc:Choice>
    </mc:AlternateContent>
    <mc:AlternateContent xmlns:mc="http://schemas.openxmlformats.org/markup-compatibility/2006">
      <mc:Choice Requires="x14">
        <control shapeId="16431" r:id="rId55" name="obOddEvenRowFirst">
          <controlPr defaultSize="0" autoFill="0" autoLine="0" autoPict="0" macro="_xll.FPMXLClient.TechnicalCategory.ButtonActionInEPMClientFormattingSheet">
            <anchor moveWithCells="1">
              <from>
                <xdr:col>3</xdr:col>
                <xdr:colOff>412750</xdr:colOff>
                <xdr:row>101</xdr:row>
                <xdr:rowOff>57150</xdr:rowOff>
              </from>
              <to>
                <xdr:col>3</xdr:col>
                <xdr:colOff>2533650</xdr:colOff>
                <xdr:row>101</xdr:row>
                <xdr:rowOff>279400</xdr:rowOff>
              </to>
            </anchor>
          </controlPr>
        </control>
      </mc:Choice>
    </mc:AlternateContent>
    <mc:AlternateContent xmlns:mc="http://schemas.openxmlformats.org/markup-compatibility/2006">
      <mc:Choice Requires="x14">
        <control shapeId="16432" r:id="rId56" name="obOddEvenColumnFirst">
          <controlPr defaultSize="0" autoFill="0" autoLine="0" autoPict="0" macro="_xll.FPMXLClient.TechnicalCategory.ButtonActionInEPMClientFormattingSheet">
            <anchor moveWithCells="1">
              <from>
                <xdr:col>1</xdr:col>
                <xdr:colOff>222250</xdr:colOff>
                <xdr:row>101</xdr:row>
                <xdr:rowOff>57150</xdr:rowOff>
              </from>
              <to>
                <xdr:col>3</xdr:col>
                <xdr:colOff>374650</xdr:colOff>
                <xdr:row>101</xdr:row>
                <xdr:rowOff>279400</xdr:rowOff>
              </to>
            </anchor>
          </controlPr>
        </control>
      </mc:Choice>
    </mc:AlternateContent>
    <mc:AlternateContent xmlns:mc="http://schemas.openxmlformats.org/markup-compatibility/2006">
      <mc:Choice Requires="x14">
        <control shapeId="16433" r:id="rId57" name="cbUseOddFirst">
          <controlPr defaultSize="0" autoFill="0" autoLine="0" autoPict="0">
            <anchor moveWithCells="1">
              <from>
                <xdr:col>2</xdr:col>
                <xdr:colOff>127000</xdr:colOff>
                <xdr:row>104</xdr:row>
                <xdr:rowOff>0</xdr:rowOff>
              </from>
              <to>
                <xdr:col>3</xdr:col>
                <xdr:colOff>0</xdr:colOff>
                <xdr:row>106</xdr:row>
                <xdr:rowOff>50800</xdr:rowOff>
              </to>
            </anchor>
          </controlPr>
        </control>
      </mc:Choice>
    </mc:AlternateContent>
    <mc:AlternateContent xmlns:mc="http://schemas.openxmlformats.org/markup-compatibility/2006">
      <mc:Choice Requires="x14">
        <control shapeId="16434" r:id="rId58" name="cbUseEvenFirst">
          <controlPr defaultSize="0" autoFill="0" autoLine="0" autoPict="0">
            <anchor moveWithCells="1">
              <from>
                <xdr:col>2</xdr:col>
                <xdr:colOff>127000</xdr:colOff>
                <xdr:row>107</xdr:row>
                <xdr:rowOff>12700</xdr:rowOff>
              </from>
              <to>
                <xdr:col>3</xdr:col>
                <xdr:colOff>0</xdr:colOff>
                <xdr:row>109</xdr:row>
                <xdr:rowOff>50800</xdr:rowOff>
              </to>
            </anchor>
          </controlPr>
        </control>
      </mc:Choice>
    </mc:AlternateContent>
    <mc:AlternateContent xmlns:mc="http://schemas.openxmlformats.org/markup-compatibility/2006">
      <mc:Choice Requires="x14">
        <control shapeId="16435" r:id="rId59" name="cbUseOddSecond">
          <controlPr defaultSize="0" autoFill="0" autoLine="0" autoPict="0">
            <anchor moveWithCells="1">
              <from>
                <xdr:col>2</xdr:col>
                <xdr:colOff>127000</xdr:colOff>
                <xdr:row>111</xdr:row>
                <xdr:rowOff>222250</xdr:rowOff>
              </from>
              <to>
                <xdr:col>3</xdr:col>
                <xdr:colOff>0</xdr:colOff>
                <xdr:row>114</xdr:row>
                <xdr:rowOff>38100</xdr:rowOff>
              </to>
            </anchor>
          </controlPr>
        </control>
      </mc:Choice>
    </mc:AlternateContent>
    <mc:AlternateContent xmlns:mc="http://schemas.openxmlformats.org/markup-compatibility/2006">
      <mc:Choice Requires="x14">
        <control shapeId="16436" r:id="rId60" name="cbUseEvenSecond">
          <controlPr defaultSize="0" autoFill="0" autoLine="0" autoPict="0">
            <anchor moveWithCells="1">
              <from>
                <xdr:col>2</xdr:col>
                <xdr:colOff>127000</xdr:colOff>
                <xdr:row>115</xdr:row>
                <xdr:rowOff>0</xdr:rowOff>
              </from>
              <to>
                <xdr:col>3</xdr:col>
                <xdr:colOff>0</xdr:colOff>
                <xdr:row>117</xdr:row>
                <xdr:rowOff>50800</xdr:rowOff>
              </to>
            </anchor>
          </controlPr>
        </control>
      </mc:Choice>
    </mc:AlternateContent>
    <mc:AlternateContent xmlns:mc="http://schemas.openxmlformats.org/markup-compatibility/2006">
      <mc:Choice Requires="x14">
        <control shapeId="16438" r:id="rId61" name="cbUseDefaultPageHeaderFormat">
          <controlPr defaultSize="0" autoFill="0" autoLine="0" autoPict="0">
            <anchor moveWithCells="1">
              <from>
                <xdr:col>2</xdr:col>
                <xdr:colOff>127000</xdr:colOff>
                <xdr:row>123</xdr:row>
                <xdr:rowOff>0</xdr:rowOff>
              </from>
              <to>
                <xdr:col>3</xdr:col>
                <xdr:colOff>0</xdr:colOff>
                <xdr:row>125</xdr:row>
                <xdr:rowOff>50800</xdr:rowOff>
              </to>
            </anchor>
          </controlPr>
        </control>
      </mc:Choice>
    </mc:AlternateContent>
    <mc:AlternateContent xmlns:mc="http://schemas.openxmlformats.org/markup-compatibility/2006">
      <mc:Choice Requires="x14">
        <control shapeId="16439" r:id="rId62" name="cbUseDimensionFormatting">
          <controlPr defaultSize="0" autoFill="0" autoLine="0" autoPict="0">
            <anchor moveWithCells="1">
              <from>
                <xdr:col>2</xdr:col>
                <xdr:colOff>127000</xdr:colOff>
                <xdr:row>126</xdr:row>
                <xdr:rowOff>12700</xdr:rowOff>
              </from>
              <to>
                <xdr:col>3</xdr:col>
                <xdr:colOff>0</xdr:colOff>
                <xdr:row>127</xdr:row>
                <xdr:rowOff>171450</xdr:rowOff>
              </to>
            </anchor>
          </controlPr>
        </control>
      </mc:Choice>
    </mc:AlternateContent>
    <mc:AlternateContent xmlns:mc="http://schemas.openxmlformats.org/markup-compatibility/2006">
      <mc:Choice Requires="x14">
        <control shapeId="16440" r:id="rId63" name="AddDimension">
          <controlPr defaultSize="0" print="0" autoFill="0" autoPict="0" macro="_xll.FPMXLClient.TechnicalCategory.ButtonActionInEPMClientFormattingSheet">
            <anchor moveWithCells="1">
              <from>
                <xdr:col>3</xdr:col>
                <xdr:colOff>57150</xdr:colOff>
                <xdr:row>128</xdr:row>
                <xdr:rowOff>31750</xdr:rowOff>
              </from>
              <to>
                <xdr:col>4</xdr:col>
                <xdr:colOff>0</xdr:colOff>
                <xdr:row>129</xdr:row>
                <xdr:rowOff>0</xdr:rowOff>
              </to>
            </anchor>
          </controlPr>
        </control>
      </mc:Choice>
    </mc:AlternateContent>
    <mc:AlternateContent xmlns:mc="http://schemas.openxmlformats.org/markup-compatibility/2006">
      <mc:Choice Requires="x14">
        <control shapeId="16545" r:id="rId64" name="AddedMember2_1">
          <controlPr defaultSize="0" print="0" autoFill="0" autoPict="0" macro="_xll.FPMXLClient.TechnicalCategory.ButtonActionInEPMClientFormattingSheet">
            <anchor moveWithCells="1">
              <from>
                <xdr:col>12</xdr:col>
                <xdr:colOff>0</xdr:colOff>
                <xdr:row>94</xdr:row>
                <xdr:rowOff>0</xdr:rowOff>
              </from>
              <to>
                <xdr:col>13</xdr:col>
                <xdr:colOff>0</xdr:colOff>
                <xdr:row>95</xdr:row>
                <xdr:rowOff>12700</xdr:rowOff>
              </to>
            </anchor>
          </controlPr>
        </control>
      </mc:Choice>
    </mc:AlternateContent>
    <mc:AlternateContent xmlns:mc="http://schemas.openxmlformats.org/markup-compatibility/2006">
      <mc:Choice Requires="x14">
        <control shapeId="16546" r:id="rId65" name="ChangeMember2_1">
          <controlPr defaultSize="0" print="0" autoFill="0" autoPict="0" macro="_xll.FPMXLClient.TechnicalCategory.ButtonActionInEPMClientFormattingSheet">
            <anchor moveWithCells="1">
              <from>
                <xdr:col>12</xdr:col>
                <xdr:colOff>736600</xdr:colOff>
                <xdr:row>94</xdr:row>
                <xdr:rowOff>0</xdr:rowOff>
              </from>
              <to>
                <xdr:col>14</xdr:col>
                <xdr:colOff>0</xdr:colOff>
                <xdr:row>95</xdr:row>
                <xdr:rowOff>12700</xdr:rowOff>
              </to>
            </anchor>
          </controlPr>
        </control>
      </mc:Choice>
    </mc:AlternateContent>
    <mc:AlternateContent xmlns:mc="http://schemas.openxmlformats.org/markup-compatibility/2006">
      <mc:Choice Requires="x14">
        <control shapeId="16547" r:id="rId66" name="UpMember2_1">
          <controlPr defaultSize="0" print="0" autoFill="0" autoPict="0" macro="_xll.FPMXLClient.TechnicalCategory.ButtonActionInEPMClientFormattingSheet">
            <anchor moveWithCells="1">
              <from>
                <xdr:col>14</xdr:col>
                <xdr:colOff>0</xdr:colOff>
                <xdr:row>94</xdr:row>
                <xdr:rowOff>0</xdr:rowOff>
              </from>
              <to>
                <xdr:col>15</xdr:col>
                <xdr:colOff>0</xdr:colOff>
                <xdr:row>95</xdr:row>
                <xdr:rowOff>12700</xdr:rowOff>
              </to>
            </anchor>
          </controlPr>
        </control>
      </mc:Choice>
    </mc:AlternateContent>
    <mc:AlternateContent xmlns:mc="http://schemas.openxmlformats.org/markup-compatibility/2006">
      <mc:Choice Requires="x14">
        <control shapeId="16548" r:id="rId67" name="DownMember2_1">
          <controlPr defaultSize="0" print="0" autoFill="0" autoPict="0" macro="_xll.FPMXLClient.TechnicalCategory.ButtonActionInEPMClientFormattingSheet">
            <anchor moveWithCells="1">
              <from>
                <xdr:col>15</xdr:col>
                <xdr:colOff>12700</xdr:colOff>
                <xdr:row>94</xdr:row>
                <xdr:rowOff>0</xdr:rowOff>
              </from>
              <to>
                <xdr:col>16</xdr:col>
                <xdr:colOff>0</xdr:colOff>
                <xdr:row>95</xdr:row>
                <xdr:rowOff>12700</xdr:rowOff>
              </to>
            </anchor>
          </controlPr>
        </control>
      </mc:Choice>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BC20-8B57-47DA-BA70-EAC2F97BE1D5}">
  <sheetPr codeName="Sheet12"/>
  <dimension ref="A1:AB148"/>
  <sheetViews>
    <sheetView showGridLines="0" topLeftCell="A70" zoomScale="85" zoomScaleNormal="85" workbookViewId="0">
      <selection activeCell="F101" sqref="F101"/>
    </sheetView>
  </sheetViews>
  <sheetFormatPr defaultColWidth="8.7265625" defaultRowHeight="14" x14ac:dyDescent="0.3"/>
  <cols>
    <col min="1" max="1" width="1.54296875" style="4" customWidth="1"/>
    <col min="2" max="2" width="12.54296875" style="4" customWidth="1"/>
    <col min="3" max="3" width="15.54296875" style="4" customWidth="1"/>
    <col min="4" max="4" width="64.54296875" style="4" customWidth="1"/>
    <col min="5" max="5" width="3.1796875" style="4" customWidth="1"/>
    <col min="6" max="6" width="14.1796875" style="4" customWidth="1"/>
    <col min="7" max="7" width="3.1796875" style="4" customWidth="1"/>
    <col min="8" max="8" width="30.54296875" style="4" customWidth="1"/>
    <col min="9" max="9" width="3.1796875" style="4" customWidth="1"/>
    <col min="10" max="10" width="14.1796875" style="4" customWidth="1"/>
    <col min="11" max="11" width="3.1796875" style="4" customWidth="1"/>
    <col min="12" max="12" width="36.54296875" style="4" customWidth="1"/>
    <col min="13" max="16" width="10.54296875" style="4" customWidth="1"/>
    <col min="17" max="17" width="90.54296875" style="4" customWidth="1"/>
    <col min="18" max="27" width="8.7265625" style="4"/>
    <col min="28" max="28" width="21.7265625" style="4" bestFit="1" customWidth="1"/>
    <col min="29" max="16384" width="8.7265625" style="4"/>
  </cols>
  <sheetData>
    <row r="1" spans="1:28" ht="42" customHeight="1" x14ac:dyDescent="0.3">
      <c r="A1" s="5"/>
      <c r="B1" s="138" t="s">
        <v>0</v>
      </c>
      <c r="C1" s="138"/>
      <c r="D1" s="138"/>
      <c r="E1" s="138"/>
      <c r="F1" s="138"/>
      <c r="G1" s="138"/>
      <c r="H1" s="138"/>
      <c r="I1" s="138"/>
      <c r="J1" s="138"/>
      <c r="K1" s="138"/>
      <c r="L1" s="138"/>
      <c r="AA1" s="3">
        <v>1</v>
      </c>
      <c r="AB1" s="3" t="b">
        <v>0</v>
      </c>
    </row>
    <row r="2" spans="1:28" ht="15.75" customHeight="1" x14ac:dyDescent="0.35">
      <c r="A2" s="41" t="s">
        <v>32</v>
      </c>
      <c r="B2" s="5"/>
      <c r="C2" s="5"/>
      <c r="D2" s="5"/>
      <c r="E2" s="5"/>
      <c r="F2"/>
      <c r="G2" s="5"/>
      <c r="H2" s="5"/>
      <c r="I2" s="5"/>
      <c r="J2" s="5"/>
      <c r="K2" s="5"/>
      <c r="L2" s="5"/>
    </row>
    <row r="3" spans="1:28" ht="15.75" customHeight="1" x14ac:dyDescent="0.3">
      <c r="A3" s="5"/>
      <c r="B3" s="6" t="s">
        <v>1</v>
      </c>
      <c r="C3" s="5"/>
      <c r="D3" s="5"/>
      <c r="E3" s="5"/>
      <c r="F3" s="5"/>
      <c r="G3" s="5"/>
      <c r="H3" s="5"/>
      <c r="I3" s="5"/>
      <c r="J3" s="5"/>
      <c r="K3" s="5"/>
      <c r="L3" s="5"/>
    </row>
    <row r="4" spans="1:28" ht="18" customHeight="1" thickBot="1" x14ac:dyDescent="0.35">
      <c r="A4" s="5"/>
      <c r="B4" s="5"/>
      <c r="C4" s="5"/>
      <c r="D4" s="5"/>
      <c r="E4" s="5"/>
      <c r="F4" s="5"/>
      <c r="G4" s="5"/>
      <c r="H4" s="5"/>
      <c r="I4" s="5"/>
      <c r="J4" s="5"/>
      <c r="K4" s="5"/>
      <c r="L4" s="5"/>
    </row>
    <row r="5" spans="1:28" ht="28.4" customHeight="1" x14ac:dyDescent="0.3">
      <c r="A5" s="5"/>
      <c r="B5" s="139" t="s">
        <v>2</v>
      </c>
      <c r="C5" s="140"/>
      <c r="D5" s="140"/>
      <c r="E5" s="140"/>
      <c r="F5" s="140"/>
      <c r="G5" s="140"/>
      <c r="H5" s="140"/>
      <c r="I5" s="140"/>
      <c r="J5" s="140"/>
      <c r="K5" s="140"/>
      <c r="L5" s="141"/>
      <c r="Q5" s="35" t="s">
        <v>25</v>
      </c>
    </row>
    <row r="6" spans="1:28" ht="28.4" customHeight="1" x14ac:dyDescent="0.3">
      <c r="A6" s="5"/>
      <c r="B6" s="142"/>
      <c r="C6" s="143"/>
      <c r="D6" s="143"/>
      <c r="E6" s="143"/>
      <c r="F6" s="143"/>
      <c r="G6" s="143"/>
      <c r="H6" s="143"/>
      <c r="I6" s="143"/>
      <c r="J6" s="143"/>
      <c r="K6" s="143"/>
      <c r="L6" s="144"/>
      <c r="Q6" s="36" t="s">
        <v>26</v>
      </c>
    </row>
    <row r="7" spans="1:28" ht="21.75" customHeight="1" x14ac:dyDescent="0.3">
      <c r="A7" s="5"/>
      <c r="B7" s="124" t="s">
        <v>6</v>
      </c>
      <c r="C7" s="5"/>
      <c r="D7" s="5"/>
      <c r="E7" s="5"/>
      <c r="F7" s="5"/>
      <c r="G7" s="5"/>
      <c r="H7" s="5"/>
      <c r="I7" s="5"/>
      <c r="J7" s="5"/>
      <c r="K7" s="5"/>
      <c r="L7" s="16"/>
      <c r="Q7" s="111" t="s">
        <v>28</v>
      </c>
    </row>
    <row r="8" spans="1:28" ht="18" customHeight="1" x14ac:dyDescent="0.3">
      <c r="A8" s="5"/>
      <c r="B8" s="125"/>
      <c r="C8" s="5"/>
      <c r="D8" s="5"/>
      <c r="E8" s="5"/>
      <c r="F8" s="5"/>
      <c r="G8" s="5"/>
      <c r="H8" s="5"/>
      <c r="I8" s="5"/>
      <c r="J8" s="5"/>
      <c r="K8" s="5"/>
      <c r="L8" s="16"/>
      <c r="Q8" s="111"/>
    </row>
    <row r="9" spans="1:28" ht="17.149999999999999" customHeight="1" x14ac:dyDescent="0.3">
      <c r="A9" s="5"/>
      <c r="B9" s="125"/>
      <c r="C9" s="8"/>
      <c r="D9" s="9"/>
      <c r="E9" s="115" t="s">
        <v>3</v>
      </c>
      <c r="F9" s="116"/>
      <c r="G9" s="117"/>
      <c r="H9" s="7" t="s">
        <v>4</v>
      </c>
      <c r="I9" s="115" t="s">
        <v>5</v>
      </c>
      <c r="J9" s="116"/>
      <c r="K9" s="117"/>
      <c r="L9" s="17" t="s">
        <v>4</v>
      </c>
      <c r="Q9" s="111"/>
    </row>
    <row r="10" spans="1:28" ht="5.15" customHeight="1" x14ac:dyDescent="0.3">
      <c r="A10" s="5"/>
      <c r="B10" s="125"/>
      <c r="C10" s="112"/>
      <c r="D10" s="5"/>
      <c r="E10" s="18"/>
      <c r="F10" s="18"/>
      <c r="G10" s="18"/>
      <c r="H10" s="12"/>
      <c r="I10" s="18"/>
      <c r="J10" s="18"/>
      <c r="K10" s="18"/>
      <c r="L10" s="16"/>
      <c r="Q10" s="111"/>
    </row>
    <row r="11" spans="1:28" ht="15.75" customHeight="1" x14ac:dyDescent="0.3">
      <c r="A11" s="5"/>
      <c r="B11" s="125"/>
      <c r="C11" s="113"/>
      <c r="D11" s="19" t="s">
        <v>7</v>
      </c>
      <c r="E11" s="18"/>
      <c r="F11" s="45">
        <v>10000</v>
      </c>
      <c r="G11" s="18"/>
      <c r="H11" s="13" t="s">
        <v>8</v>
      </c>
      <c r="I11" s="18"/>
      <c r="J11" s="43" t="s">
        <v>9</v>
      </c>
      <c r="K11" s="18"/>
      <c r="L11" s="22" t="s">
        <v>8</v>
      </c>
      <c r="Q11" s="111"/>
    </row>
    <row r="12" spans="1:28" ht="5.15" customHeight="1" x14ac:dyDescent="0.3">
      <c r="A12" s="5"/>
      <c r="B12" s="125"/>
      <c r="C12" s="114"/>
      <c r="D12" s="10"/>
      <c r="E12" s="11"/>
      <c r="F12" s="11"/>
      <c r="G12" s="11"/>
      <c r="H12" s="9"/>
      <c r="I12" s="11"/>
      <c r="J12" s="11"/>
      <c r="K12" s="11"/>
      <c r="L12" s="23"/>
      <c r="Q12" s="111"/>
    </row>
    <row r="13" spans="1:28" ht="5.15" customHeight="1" x14ac:dyDescent="0.3">
      <c r="A13" s="5"/>
      <c r="B13" s="125"/>
      <c r="C13" s="113"/>
      <c r="D13" s="5"/>
      <c r="E13" s="18"/>
      <c r="F13" s="18"/>
      <c r="G13" s="18"/>
      <c r="H13" s="14"/>
      <c r="I13" s="18"/>
      <c r="J13" s="18"/>
      <c r="K13" s="18"/>
      <c r="L13" s="16"/>
      <c r="Q13" s="111"/>
    </row>
    <row r="14" spans="1:28" ht="15.75" customHeight="1" x14ac:dyDescent="0.3">
      <c r="A14" s="5"/>
      <c r="B14" s="125"/>
      <c r="C14" s="113"/>
      <c r="D14" s="19" t="s">
        <v>10</v>
      </c>
      <c r="E14" s="18"/>
      <c r="F14" s="20">
        <v>10000</v>
      </c>
      <c r="G14" s="18"/>
      <c r="H14" s="13" t="s">
        <v>8</v>
      </c>
      <c r="I14" s="18"/>
      <c r="J14" s="21" t="s">
        <v>9</v>
      </c>
      <c r="K14" s="18"/>
      <c r="L14" s="22" t="s">
        <v>8</v>
      </c>
      <c r="Q14" s="111"/>
    </row>
    <row r="15" spans="1:28" ht="5.15" customHeight="1" x14ac:dyDescent="0.3">
      <c r="A15" s="5"/>
      <c r="B15" s="125"/>
      <c r="C15" s="114"/>
      <c r="D15" s="10"/>
      <c r="E15" s="11"/>
      <c r="F15" s="11"/>
      <c r="G15" s="11"/>
      <c r="H15" s="9"/>
      <c r="I15" s="11"/>
      <c r="J15" s="11"/>
      <c r="K15" s="11"/>
      <c r="L15" s="23"/>
      <c r="Q15" s="111"/>
    </row>
    <row r="16" spans="1:28" ht="11.15" customHeight="1" x14ac:dyDescent="0.3">
      <c r="A16" s="5"/>
      <c r="B16" s="125"/>
      <c r="C16" s="113"/>
      <c r="D16" s="137" t="s">
        <v>11</v>
      </c>
      <c r="E16" s="18"/>
      <c r="F16" s="18"/>
      <c r="G16" s="18"/>
      <c r="H16" s="14"/>
      <c r="I16" s="18"/>
      <c r="J16" s="18"/>
      <c r="K16" s="18"/>
      <c r="L16" s="16"/>
      <c r="Q16" s="111"/>
    </row>
    <row r="17" spans="1:17" ht="11.15" customHeight="1" x14ac:dyDescent="0.3">
      <c r="A17" s="5"/>
      <c r="B17" s="125"/>
      <c r="C17" s="113"/>
      <c r="D17" s="137"/>
      <c r="E17" s="18"/>
      <c r="F17" s="18"/>
      <c r="G17" s="18"/>
      <c r="H17" s="14"/>
      <c r="I17" s="18"/>
      <c r="J17" s="18"/>
      <c r="K17" s="18"/>
      <c r="L17" s="16"/>
      <c r="Q17" s="111"/>
    </row>
    <row r="18" spans="1:17" ht="15.75" customHeight="1" x14ac:dyDescent="0.3">
      <c r="A18" s="5"/>
      <c r="B18" s="125"/>
      <c r="C18" s="15"/>
      <c r="D18" s="24" t="str">
        <f>IF(AA1=2, "Level 1", IF(AB1=TRUE, IF(A26-1=0, "Lowest Level","Lowest Level -"&amp;(A26-1)), "Level 1"))</f>
        <v>Level 1</v>
      </c>
      <c r="E18" s="18"/>
      <c r="F18" s="20">
        <v>10000</v>
      </c>
      <c r="G18" s="18"/>
      <c r="H18" s="13" t="s">
        <v>8</v>
      </c>
      <c r="I18" s="18"/>
      <c r="J18" s="21" t="s">
        <v>9</v>
      </c>
      <c r="K18" s="18"/>
      <c r="L18" s="22" t="s">
        <v>8</v>
      </c>
      <c r="Q18" s="111"/>
    </row>
    <row r="19" spans="1:17" ht="5.15" customHeight="1" x14ac:dyDescent="0.3">
      <c r="A19" s="5"/>
      <c r="B19" s="125"/>
      <c r="C19" s="15"/>
      <c r="D19" s="10"/>
      <c r="E19" s="11"/>
      <c r="F19" s="11"/>
      <c r="G19" s="11"/>
      <c r="H19" s="9"/>
      <c r="I19" s="11"/>
      <c r="J19" s="11"/>
      <c r="K19" s="11"/>
      <c r="L19" s="23"/>
      <c r="Q19" s="111"/>
    </row>
    <row r="20" spans="1:17" ht="5.15" customHeight="1" x14ac:dyDescent="0.35">
      <c r="A20" s="5"/>
      <c r="B20" s="125"/>
      <c r="C20" s="15"/>
      <c r="D20" s="5"/>
      <c r="E20" s="18"/>
      <c r="F20" s="18"/>
      <c r="G20" s="18"/>
      <c r="H20" s="14"/>
      <c r="I20" s="18"/>
      <c r="J20" s="18"/>
      <c r="K20" s="18"/>
      <c r="L20" s="16"/>
      <c r="Q20" s="37"/>
    </row>
    <row r="21" spans="1:17" ht="15.75" customHeight="1" x14ac:dyDescent="0.3">
      <c r="A21" s="5"/>
      <c r="B21" s="125"/>
      <c r="C21" s="15"/>
      <c r="D21" s="25" t="str">
        <f>IF(AA1=2, "Level 2", IF(AB1=TRUE, IF(A26-2=0, "Lowest Level","Lowest Level -"&amp;(A26-2)), "Level 2"))</f>
        <v>Level 2</v>
      </c>
      <c r="E21" s="18"/>
      <c r="F21" s="20">
        <v>10000</v>
      </c>
      <c r="G21" s="18"/>
      <c r="H21" s="13" t="s">
        <v>8</v>
      </c>
      <c r="I21" s="18"/>
      <c r="J21" s="21" t="s">
        <v>9</v>
      </c>
      <c r="K21" s="18"/>
      <c r="L21" s="22" t="s">
        <v>8</v>
      </c>
      <c r="Q21" s="38" t="s">
        <v>29</v>
      </c>
    </row>
    <row r="22" spans="1:17" ht="5.15" customHeight="1" x14ac:dyDescent="0.3">
      <c r="A22" s="5"/>
      <c r="B22" s="125"/>
      <c r="C22" s="15"/>
      <c r="D22" s="10"/>
      <c r="E22" s="11"/>
      <c r="F22" s="11"/>
      <c r="G22" s="11"/>
      <c r="H22" s="9"/>
      <c r="I22" s="11"/>
      <c r="J22" s="11"/>
      <c r="K22" s="11"/>
      <c r="L22" s="23"/>
      <c r="Q22" s="111" t="s">
        <v>30</v>
      </c>
    </row>
    <row r="23" spans="1:17" ht="5.15" customHeight="1" x14ac:dyDescent="0.3">
      <c r="A23" s="5"/>
      <c r="B23" s="125"/>
      <c r="C23" s="15"/>
      <c r="D23" s="5"/>
      <c r="E23" s="18"/>
      <c r="F23" s="18"/>
      <c r="G23" s="18"/>
      <c r="H23" s="14"/>
      <c r="I23" s="18"/>
      <c r="J23" s="18"/>
      <c r="K23" s="18"/>
      <c r="L23" s="16"/>
      <c r="Q23" s="111"/>
    </row>
    <row r="24" spans="1:17" ht="15.75" customHeight="1" x14ac:dyDescent="0.3">
      <c r="A24" s="5"/>
      <c r="B24" s="125"/>
      <c r="C24" s="15"/>
      <c r="D24" s="26" t="str">
        <f>IF(AA1=2, "Level 3", IF(AB1=TRUE, IF(A26-3=0, "Lowest Level","Lowest Level -"&amp;(A26-3)), "Level 3"))</f>
        <v>Level 3</v>
      </c>
      <c r="E24" s="18"/>
      <c r="F24" s="20">
        <v>10000</v>
      </c>
      <c r="G24" s="18"/>
      <c r="H24" s="13" t="s">
        <v>8</v>
      </c>
      <c r="I24" s="18"/>
      <c r="J24" s="21" t="s">
        <v>9</v>
      </c>
      <c r="K24" s="18"/>
      <c r="L24" s="22" t="s">
        <v>8</v>
      </c>
      <c r="Q24" s="111"/>
    </row>
    <row r="25" spans="1:17" ht="5.15" customHeight="1" x14ac:dyDescent="0.3">
      <c r="A25" s="5"/>
      <c r="B25" s="125"/>
      <c r="C25" s="15"/>
      <c r="D25" s="10"/>
      <c r="E25" s="11"/>
      <c r="F25" s="11"/>
      <c r="G25" s="11"/>
      <c r="H25" s="9"/>
      <c r="I25" s="11"/>
      <c r="J25" s="11"/>
      <c r="K25" s="11"/>
      <c r="L25" s="23"/>
      <c r="Q25" s="111"/>
    </row>
    <row r="26" spans="1:17" ht="22" customHeight="1" x14ac:dyDescent="0.3">
      <c r="A26" s="5">
        <v>3</v>
      </c>
      <c r="B26" s="125"/>
      <c r="C26" s="15"/>
      <c r="D26" s="5"/>
      <c r="E26" s="5"/>
      <c r="F26" s="5"/>
      <c r="G26" s="5"/>
      <c r="H26" s="5"/>
      <c r="I26" s="5"/>
      <c r="J26" s="5"/>
      <c r="K26" s="5"/>
      <c r="L26" s="16"/>
      <c r="Q26" s="111"/>
    </row>
    <row r="27" spans="1:17" ht="5.15" customHeight="1" thickBot="1" x14ac:dyDescent="0.35">
      <c r="A27" s="5"/>
      <c r="B27" s="132"/>
      <c r="C27" s="27"/>
      <c r="D27" s="28"/>
      <c r="E27" s="28"/>
      <c r="F27" s="28"/>
      <c r="G27" s="28"/>
      <c r="H27" s="28"/>
      <c r="I27" s="28"/>
      <c r="J27" s="28"/>
      <c r="K27" s="28"/>
      <c r="L27" s="29"/>
      <c r="Q27" s="111"/>
    </row>
    <row r="28" spans="1:17" ht="21.75" customHeight="1" x14ac:dyDescent="0.3">
      <c r="A28" s="5"/>
      <c r="B28" s="136" t="s">
        <v>12</v>
      </c>
      <c r="C28" s="30"/>
      <c r="D28" s="30"/>
      <c r="E28" s="30"/>
      <c r="F28" s="30"/>
      <c r="G28" s="30"/>
      <c r="H28" s="30"/>
      <c r="I28" s="30"/>
      <c r="J28" s="30"/>
      <c r="K28" s="30"/>
      <c r="L28" s="31"/>
      <c r="Q28" s="111"/>
    </row>
    <row r="29" spans="1:17" ht="18" customHeight="1" x14ac:dyDescent="0.3">
      <c r="A29" s="5"/>
      <c r="B29" s="125"/>
      <c r="C29" s="5"/>
      <c r="D29" s="5"/>
      <c r="E29" s="5"/>
      <c r="F29" s="5"/>
      <c r="G29" s="5"/>
      <c r="H29" s="5"/>
      <c r="I29" s="5"/>
      <c r="J29" s="5"/>
      <c r="K29" s="5"/>
      <c r="L29" s="16"/>
      <c r="Q29" s="111"/>
    </row>
    <row r="30" spans="1:17" ht="17.149999999999999" customHeight="1" x14ac:dyDescent="0.35">
      <c r="A30" s="5"/>
      <c r="B30" s="125"/>
      <c r="C30" s="8"/>
      <c r="D30" s="9"/>
      <c r="E30" s="115" t="s">
        <v>3</v>
      </c>
      <c r="F30" s="116"/>
      <c r="G30" s="117"/>
      <c r="H30" s="7" t="s">
        <v>4</v>
      </c>
      <c r="I30" s="115" t="s">
        <v>5</v>
      </c>
      <c r="J30" s="116"/>
      <c r="K30" s="117"/>
      <c r="L30" s="17" t="s">
        <v>4</v>
      </c>
      <c r="Q30" s="37"/>
    </row>
    <row r="31" spans="1:17" ht="5.15" customHeight="1" x14ac:dyDescent="0.35">
      <c r="A31" s="5"/>
      <c r="B31" s="125"/>
      <c r="C31" s="112"/>
      <c r="D31" s="5"/>
      <c r="E31" s="18"/>
      <c r="F31" s="18"/>
      <c r="G31" s="18"/>
      <c r="H31" s="12"/>
      <c r="I31" s="18"/>
      <c r="J31" s="18"/>
      <c r="K31" s="18"/>
      <c r="L31" s="16"/>
      <c r="Q31" s="37"/>
    </row>
    <row r="32" spans="1:17" ht="15.75" customHeight="1" x14ac:dyDescent="0.3">
      <c r="A32" s="5"/>
      <c r="B32" s="125"/>
      <c r="C32" s="113"/>
      <c r="D32" s="19" t="s">
        <v>7</v>
      </c>
      <c r="E32" s="18"/>
      <c r="F32" s="45">
        <v>10000</v>
      </c>
      <c r="G32" s="18"/>
      <c r="H32" s="13" t="s">
        <v>8</v>
      </c>
      <c r="I32" s="18"/>
      <c r="J32" s="44" t="s">
        <v>9</v>
      </c>
      <c r="K32" s="18"/>
      <c r="L32" s="22" t="s">
        <v>8</v>
      </c>
      <c r="Q32" s="39" t="s">
        <v>27</v>
      </c>
    </row>
    <row r="33" spans="1:17" ht="5.15" customHeight="1" x14ac:dyDescent="0.3">
      <c r="A33" s="5"/>
      <c r="B33" s="125"/>
      <c r="C33" s="114"/>
      <c r="D33" s="10"/>
      <c r="E33" s="11"/>
      <c r="F33" s="11"/>
      <c r="G33" s="11"/>
      <c r="H33" s="9"/>
      <c r="I33" s="11"/>
      <c r="J33" s="11"/>
      <c r="K33" s="11"/>
      <c r="L33" s="23"/>
      <c r="Q33" s="111" t="s">
        <v>31</v>
      </c>
    </row>
    <row r="34" spans="1:17" ht="5.15" customHeight="1" x14ac:dyDescent="0.3">
      <c r="A34" s="5"/>
      <c r="B34" s="125"/>
      <c r="C34" s="113"/>
      <c r="D34" s="5"/>
      <c r="E34" s="18"/>
      <c r="F34" s="18"/>
      <c r="G34" s="18"/>
      <c r="H34" s="14"/>
      <c r="I34" s="18"/>
      <c r="J34" s="18"/>
      <c r="K34" s="18"/>
      <c r="L34" s="16"/>
      <c r="Q34" s="111"/>
    </row>
    <row r="35" spans="1:17" ht="15.75" customHeight="1" x14ac:dyDescent="0.3">
      <c r="A35" s="5"/>
      <c r="B35" s="125"/>
      <c r="C35" s="113"/>
      <c r="D35" s="19" t="s">
        <v>10</v>
      </c>
      <c r="E35" s="18"/>
      <c r="F35" s="20">
        <v>10000</v>
      </c>
      <c r="G35" s="18"/>
      <c r="H35" s="13" t="s">
        <v>8</v>
      </c>
      <c r="I35" s="18"/>
      <c r="J35" s="21" t="s">
        <v>9</v>
      </c>
      <c r="K35" s="18"/>
      <c r="L35" s="22" t="s">
        <v>8</v>
      </c>
      <c r="Q35" s="111"/>
    </row>
    <row r="36" spans="1:17" ht="5.15" customHeight="1" x14ac:dyDescent="0.3">
      <c r="A36" s="5"/>
      <c r="B36" s="125"/>
      <c r="C36" s="114"/>
      <c r="D36" s="10"/>
      <c r="E36" s="11"/>
      <c r="F36" s="11"/>
      <c r="G36" s="11"/>
      <c r="H36" s="9"/>
      <c r="I36" s="11"/>
      <c r="J36" s="11"/>
      <c r="K36" s="11"/>
      <c r="L36" s="23"/>
      <c r="Q36" s="111"/>
    </row>
    <row r="37" spans="1:17" ht="11.15" customHeight="1" x14ac:dyDescent="0.3">
      <c r="A37" s="5"/>
      <c r="B37" s="125"/>
      <c r="C37" s="113"/>
      <c r="D37" s="137" t="s">
        <v>11</v>
      </c>
      <c r="E37" s="18"/>
      <c r="F37" s="18"/>
      <c r="G37" s="18"/>
      <c r="H37" s="14"/>
      <c r="I37" s="18"/>
      <c r="J37" s="18"/>
      <c r="K37" s="18"/>
      <c r="L37" s="16"/>
      <c r="Q37" s="111"/>
    </row>
    <row r="38" spans="1:17" ht="11.15" customHeight="1" x14ac:dyDescent="0.3">
      <c r="A38" s="5"/>
      <c r="B38" s="125"/>
      <c r="C38" s="113"/>
      <c r="D38" s="137"/>
      <c r="E38" s="18"/>
      <c r="F38" s="18"/>
      <c r="G38" s="18"/>
      <c r="H38" s="14"/>
      <c r="I38" s="18"/>
      <c r="J38" s="18"/>
      <c r="K38" s="18"/>
      <c r="L38" s="16"/>
      <c r="Q38" s="111"/>
    </row>
    <row r="39" spans="1:17" ht="15.75" customHeight="1" x14ac:dyDescent="0.3">
      <c r="A39" s="5"/>
      <c r="B39" s="125"/>
      <c r="C39" s="15"/>
      <c r="D39" s="24" t="str">
        <f>IF(AA1=2, "Level 1", IF(AB1=TRUE, IF(A47-1=0, "Lowest Level","Lowest Level -"&amp;(A47-1)), "Level 1"))</f>
        <v>Level 1</v>
      </c>
      <c r="E39" s="18"/>
      <c r="F39" s="20">
        <v>10000</v>
      </c>
      <c r="G39" s="18"/>
      <c r="H39" s="13" t="s">
        <v>8</v>
      </c>
      <c r="I39" s="18"/>
      <c r="J39" s="21" t="s">
        <v>9</v>
      </c>
      <c r="K39" s="18"/>
      <c r="L39" s="22" t="s">
        <v>8</v>
      </c>
      <c r="Q39" s="111"/>
    </row>
    <row r="40" spans="1:17" ht="5.15" customHeight="1" x14ac:dyDescent="0.35">
      <c r="A40" s="5"/>
      <c r="B40" s="125"/>
      <c r="C40" s="15"/>
      <c r="D40" s="10"/>
      <c r="E40" s="11"/>
      <c r="F40" s="11"/>
      <c r="G40" s="11"/>
      <c r="H40" s="9"/>
      <c r="I40" s="11"/>
      <c r="J40" s="11"/>
      <c r="K40" s="11"/>
      <c r="L40" s="23"/>
      <c r="Q40" s="40"/>
    </row>
    <row r="41" spans="1:17" ht="5.15" customHeight="1" x14ac:dyDescent="0.3">
      <c r="A41" s="5"/>
      <c r="B41" s="125"/>
      <c r="C41" s="15"/>
      <c r="D41" s="5"/>
      <c r="E41" s="18"/>
      <c r="F41" s="18"/>
      <c r="G41" s="18"/>
      <c r="H41" s="14"/>
      <c r="I41" s="18"/>
      <c r="J41" s="18"/>
      <c r="K41" s="18"/>
      <c r="L41" s="16"/>
    </row>
    <row r="42" spans="1:17" ht="15.75" customHeight="1" x14ac:dyDescent="0.3">
      <c r="A42" s="5"/>
      <c r="B42" s="125"/>
      <c r="C42" s="15"/>
      <c r="D42" s="25" t="str">
        <f>IF(AA1=2, "Level 2", IF(AB1=TRUE, IF(A47-2=0, "Lowest Level","Lowest Level -"&amp;(A47-2)), "Level 2"))</f>
        <v>Level 2</v>
      </c>
      <c r="E42" s="18"/>
      <c r="F42" s="20">
        <v>10000</v>
      </c>
      <c r="G42" s="18"/>
      <c r="H42" s="13" t="s">
        <v>8</v>
      </c>
      <c r="I42" s="18"/>
      <c r="J42" s="21" t="s">
        <v>9</v>
      </c>
      <c r="K42" s="18"/>
      <c r="L42" s="22" t="s">
        <v>8</v>
      </c>
    </row>
    <row r="43" spans="1:17" ht="5.15" customHeight="1" x14ac:dyDescent="0.3">
      <c r="A43" s="5"/>
      <c r="B43" s="125"/>
      <c r="C43" s="15"/>
      <c r="D43" s="10"/>
      <c r="E43" s="11"/>
      <c r="F43" s="11"/>
      <c r="G43" s="11"/>
      <c r="H43" s="9"/>
      <c r="I43" s="11"/>
      <c r="J43" s="11"/>
      <c r="K43" s="11"/>
      <c r="L43" s="23"/>
    </row>
    <row r="44" spans="1:17" ht="5.15" customHeight="1" x14ac:dyDescent="0.3">
      <c r="A44" s="5"/>
      <c r="B44" s="125"/>
      <c r="C44" s="15"/>
      <c r="D44" s="5"/>
      <c r="E44" s="18"/>
      <c r="F44" s="18"/>
      <c r="G44" s="18"/>
      <c r="H44" s="14"/>
      <c r="I44" s="18"/>
      <c r="J44" s="18"/>
      <c r="K44" s="18"/>
      <c r="L44" s="16"/>
    </row>
    <row r="45" spans="1:17" ht="15.75" customHeight="1" x14ac:dyDescent="0.3">
      <c r="A45" s="5"/>
      <c r="B45" s="125"/>
      <c r="C45" s="15"/>
      <c r="D45" s="26" t="str">
        <f>IF(AA1=2, "Level 3", IF(AB1=TRUE, IF(A47-3=0, "Lowest Level","Lowest Level -"&amp;(A47-3)), "Level 3"))</f>
        <v>Level 3</v>
      </c>
      <c r="E45" s="18"/>
      <c r="F45" s="20">
        <v>10000</v>
      </c>
      <c r="G45" s="18"/>
      <c r="H45" s="13" t="s">
        <v>8</v>
      </c>
      <c r="I45" s="18"/>
      <c r="J45" s="21" t="s">
        <v>9</v>
      </c>
      <c r="K45" s="18"/>
      <c r="L45" s="22" t="s">
        <v>8</v>
      </c>
    </row>
    <row r="46" spans="1:17" ht="5.15" customHeight="1" x14ac:dyDescent="0.3">
      <c r="A46" s="5"/>
      <c r="B46" s="125"/>
      <c r="C46" s="15"/>
      <c r="D46" s="10"/>
      <c r="E46" s="11"/>
      <c r="F46" s="11"/>
      <c r="G46" s="11"/>
      <c r="H46" s="9"/>
      <c r="I46" s="11"/>
      <c r="J46" s="11"/>
      <c r="K46" s="11"/>
      <c r="L46" s="23"/>
    </row>
    <row r="47" spans="1:17" ht="22" customHeight="1" x14ac:dyDescent="0.3">
      <c r="A47" s="5">
        <v>3</v>
      </c>
      <c r="B47" s="125"/>
      <c r="C47" s="15"/>
      <c r="D47" s="5"/>
      <c r="E47" s="5"/>
      <c r="F47" s="5"/>
      <c r="G47" s="5"/>
      <c r="H47" s="5"/>
      <c r="I47" s="5"/>
      <c r="J47" s="5"/>
      <c r="K47" s="5"/>
      <c r="L47" s="16"/>
    </row>
    <row r="48" spans="1:17" ht="5.15" customHeight="1" thickBot="1" x14ac:dyDescent="0.35">
      <c r="A48" s="5"/>
      <c r="B48" s="132"/>
      <c r="C48" s="27"/>
      <c r="D48" s="28"/>
      <c r="E48" s="28"/>
      <c r="F48" s="28"/>
      <c r="G48" s="28"/>
      <c r="H48" s="28"/>
      <c r="I48" s="28"/>
      <c r="J48" s="28"/>
      <c r="K48" s="28"/>
      <c r="L48" s="29"/>
    </row>
    <row r="49" spans="1:12" ht="9" customHeight="1" x14ac:dyDescent="0.3">
      <c r="A49" s="5"/>
      <c r="B49" s="5"/>
      <c r="C49" s="5"/>
      <c r="D49" s="5"/>
      <c r="E49" s="5"/>
      <c r="F49" s="5"/>
      <c r="G49" s="5"/>
      <c r="H49" s="5"/>
      <c r="I49" s="5"/>
      <c r="J49" s="5"/>
      <c r="K49" s="5"/>
      <c r="L49" s="5"/>
    </row>
    <row r="50" spans="1:12" ht="24.65" customHeight="1" x14ac:dyDescent="0.3">
      <c r="A50" s="5"/>
      <c r="B50" s="5"/>
      <c r="C50" s="5"/>
      <c r="D50" s="5"/>
      <c r="E50" s="5"/>
      <c r="F50" s="5"/>
      <c r="G50" s="5"/>
      <c r="H50" s="5"/>
      <c r="I50" s="5"/>
      <c r="J50" s="5"/>
      <c r="K50" s="5"/>
      <c r="L50" s="5"/>
    </row>
    <row r="51" spans="1:12" ht="15" customHeight="1" thickBot="1" x14ac:dyDescent="0.35">
      <c r="A51" s="5"/>
      <c r="B51" s="5"/>
      <c r="C51" s="5"/>
      <c r="D51" s="5"/>
      <c r="E51" s="5"/>
      <c r="F51" s="5"/>
      <c r="G51" s="5"/>
      <c r="H51" s="5"/>
      <c r="I51" s="5"/>
      <c r="J51" s="5"/>
      <c r="K51" s="5"/>
      <c r="L51" s="5"/>
    </row>
    <row r="52" spans="1:12" ht="28.4" customHeight="1" x14ac:dyDescent="0.3">
      <c r="A52" s="5"/>
      <c r="B52" s="118" t="s">
        <v>13</v>
      </c>
      <c r="C52" s="119"/>
      <c r="D52" s="119"/>
      <c r="E52" s="119"/>
      <c r="F52" s="119"/>
      <c r="G52" s="119"/>
      <c r="H52" s="119"/>
      <c r="I52" s="119"/>
      <c r="J52" s="119"/>
      <c r="K52" s="119"/>
      <c r="L52" s="120"/>
    </row>
    <row r="53" spans="1:12" ht="28.4" customHeight="1" x14ac:dyDescent="0.3">
      <c r="A53" s="5"/>
      <c r="B53" s="121"/>
      <c r="C53" s="122"/>
      <c r="D53" s="122"/>
      <c r="E53" s="122"/>
      <c r="F53" s="122"/>
      <c r="G53" s="122"/>
      <c r="H53" s="122"/>
      <c r="I53" s="122"/>
      <c r="J53" s="122"/>
      <c r="K53" s="122"/>
      <c r="L53" s="123"/>
    </row>
    <row r="54" spans="1:12" ht="18" customHeight="1" x14ac:dyDescent="0.3">
      <c r="A54" s="5"/>
      <c r="B54" s="124" t="s">
        <v>6</v>
      </c>
      <c r="C54" s="5"/>
      <c r="D54" s="5"/>
      <c r="E54" s="5"/>
      <c r="F54" s="5"/>
      <c r="G54" s="5"/>
      <c r="H54" s="5"/>
      <c r="I54" s="5"/>
      <c r="J54" s="5"/>
      <c r="K54" s="5"/>
      <c r="L54" s="16"/>
    </row>
    <row r="55" spans="1:12" ht="17.149999999999999" customHeight="1" x14ac:dyDescent="0.3">
      <c r="A55" s="5"/>
      <c r="B55" s="125"/>
      <c r="C55" s="8"/>
      <c r="D55" s="9"/>
      <c r="E55" s="115" t="s">
        <v>3</v>
      </c>
      <c r="F55" s="116"/>
      <c r="G55" s="117"/>
      <c r="H55" s="7" t="s">
        <v>4</v>
      </c>
      <c r="I55" s="115" t="s">
        <v>5</v>
      </c>
      <c r="J55" s="116"/>
      <c r="K55" s="117"/>
      <c r="L55" s="17" t="s">
        <v>4</v>
      </c>
    </row>
    <row r="56" spans="1:12" ht="5.15" customHeight="1" x14ac:dyDescent="0.3">
      <c r="A56" s="5"/>
      <c r="B56" s="125"/>
      <c r="C56" s="112"/>
      <c r="D56" s="5"/>
      <c r="E56" s="18"/>
      <c r="F56" s="18"/>
      <c r="G56" s="18"/>
      <c r="H56" s="12"/>
      <c r="I56" s="18"/>
      <c r="J56" s="18"/>
      <c r="K56" s="18"/>
      <c r="L56" s="16"/>
    </row>
    <row r="57" spans="1:12" ht="15.75" customHeight="1" x14ac:dyDescent="0.3">
      <c r="A57" s="5"/>
      <c r="B57" s="125"/>
      <c r="C57" s="113"/>
      <c r="D57" s="19" t="s">
        <v>14</v>
      </c>
      <c r="E57" s="18"/>
      <c r="F57" s="20">
        <v>10000</v>
      </c>
      <c r="G57" s="18"/>
      <c r="H57" s="13" t="s">
        <v>8</v>
      </c>
      <c r="I57" s="18"/>
      <c r="J57" s="21" t="s">
        <v>9</v>
      </c>
      <c r="K57" s="18"/>
      <c r="L57" s="22" t="s">
        <v>8</v>
      </c>
    </row>
    <row r="58" spans="1:12" ht="5.15" customHeight="1" x14ac:dyDescent="0.3">
      <c r="A58" s="5"/>
      <c r="B58" s="125"/>
      <c r="C58" s="114"/>
      <c r="D58" s="10"/>
      <c r="E58" s="11"/>
      <c r="F58" s="11"/>
      <c r="G58" s="11"/>
      <c r="H58" s="9"/>
      <c r="I58" s="11"/>
      <c r="J58" s="11"/>
      <c r="K58" s="11"/>
      <c r="L58" s="23"/>
    </row>
    <row r="59" spans="1:12" ht="5.15" customHeight="1" x14ac:dyDescent="0.3">
      <c r="A59" s="5"/>
      <c r="B59" s="125"/>
      <c r="C59" s="113"/>
      <c r="D59" s="5"/>
      <c r="E59" s="18"/>
      <c r="F59" s="18"/>
      <c r="G59" s="18"/>
      <c r="H59" s="14"/>
      <c r="I59" s="18"/>
      <c r="J59" s="18"/>
      <c r="K59" s="18"/>
      <c r="L59" s="16"/>
    </row>
    <row r="60" spans="1:12" ht="15.75" customHeight="1" x14ac:dyDescent="0.3">
      <c r="A60" s="5"/>
      <c r="B60" s="125"/>
      <c r="C60" s="113"/>
      <c r="D60" s="19" t="s">
        <v>15</v>
      </c>
      <c r="E60" s="18"/>
      <c r="F60" s="20">
        <v>10000</v>
      </c>
      <c r="G60" s="18"/>
      <c r="H60" s="13" t="s">
        <v>8</v>
      </c>
      <c r="I60" s="18"/>
      <c r="J60" s="21" t="s">
        <v>9</v>
      </c>
      <c r="K60" s="18"/>
      <c r="L60" s="22" t="s">
        <v>8</v>
      </c>
    </row>
    <row r="61" spans="1:12" ht="5.15" customHeight="1" x14ac:dyDescent="0.3">
      <c r="A61" s="5"/>
      <c r="B61" s="125"/>
      <c r="C61" s="114"/>
      <c r="D61" s="10"/>
      <c r="E61" s="11"/>
      <c r="F61" s="11"/>
      <c r="G61" s="11"/>
      <c r="H61" s="9"/>
      <c r="I61" s="11"/>
      <c r="J61" s="11"/>
      <c r="K61" s="11"/>
      <c r="L61" s="23"/>
    </row>
    <row r="62" spans="1:12" ht="5.15" customHeight="1" x14ac:dyDescent="0.3">
      <c r="A62" s="5"/>
      <c r="B62" s="125"/>
      <c r="C62" s="113"/>
      <c r="D62" s="5"/>
      <c r="E62" s="18"/>
      <c r="F62" s="18"/>
      <c r="G62" s="18"/>
      <c r="H62" s="14"/>
      <c r="I62" s="18"/>
      <c r="J62" s="18"/>
      <c r="K62" s="18"/>
      <c r="L62" s="16"/>
    </row>
    <row r="63" spans="1:12" ht="15.75" customHeight="1" x14ac:dyDescent="0.3">
      <c r="A63" s="5"/>
      <c r="B63" s="125"/>
      <c r="C63" s="113"/>
      <c r="D63" s="19" t="s">
        <v>16</v>
      </c>
      <c r="E63" s="18"/>
      <c r="F63" s="20">
        <v>10000</v>
      </c>
      <c r="G63" s="18"/>
      <c r="H63" s="13" t="s">
        <v>8</v>
      </c>
      <c r="I63" s="18"/>
      <c r="J63" s="21" t="s">
        <v>9</v>
      </c>
      <c r="K63" s="18"/>
      <c r="L63" s="22" t="s">
        <v>8</v>
      </c>
    </row>
    <row r="64" spans="1:12" ht="5.15" customHeight="1" x14ac:dyDescent="0.3">
      <c r="A64" s="5"/>
      <c r="B64" s="125"/>
      <c r="C64" s="114"/>
      <c r="D64" s="10"/>
      <c r="E64" s="11"/>
      <c r="F64" s="11"/>
      <c r="G64" s="11"/>
      <c r="H64" s="9"/>
      <c r="I64" s="11"/>
      <c r="J64" s="11"/>
      <c r="K64" s="11"/>
      <c r="L64" s="23"/>
    </row>
    <row r="65" spans="1:12" ht="5.15" customHeight="1" x14ac:dyDescent="0.3">
      <c r="A65" s="5"/>
      <c r="B65" s="125"/>
      <c r="C65" s="113"/>
      <c r="D65" s="5"/>
      <c r="E65" s="18"/>
      <c r="F65" s="18"/>
      <c r="G65" s="18"/>
      <c r="H65" s="14"/>
      <c r="I65" s="18"/>
      <c r="J65" s="18"/>
      <c r="K65" s="18"/>
      <c r="L65" s="16"/>
    </row>
    <row r="66" spans="1:12" ht="15.75" customHeight="1" x14ac:dyDescent="0.3">
      <c r="A66" s="5"/>
      <c r="B66" s="125"/>
      <c r="C66" s="113"/>
      <c r="D66" s="19" t="s">
        <v>17</v>
      </c>
      <c r="E66" s="18"/>
      <c r="F66" s="20">
        <v>10000</v>
      </c>
      <c r="G66" s="18"/>
      <c r="H66" s="13" t="s">
        <v>8</v>
      </c>
      <c r="I66" s="18"/>
      <c r="J66" s="21" t="s">
        <v>9</v>
      </c>
      <c r="K66" s="18"/>
      <c r="L66" s="22" t="s">
        <v>8</v>
      </c>
    </row>
    <row r="67" spans="1:12" ht="5.15" customHeight="1" x14ac:dyDescent="0.3">
      <c r="A67" s="5"/>
      <c r="B67" s="125"/>
      <c r="C67" s="114"/>
      <c r="D67" s="10"/>
      <c r="E67" s="11"/>
      <c r="F67" s="11"/>
      <c r="G67" s="11"/>
      <c r="H67" s="9"/>
      <c r="I67" s="11"/>
      <c r="J67" s="11"/>
      <c r="K67" s="11"/>
      <c r="L67" s="23"/>
    </row>
    <row r="68" spans="1:12" ht="5.15" customHeight="1" x14ac:dyDescent="0.3">
      <c r="A68" s="5"/>
      <c r="B68" s="125"/>
      <c r="C68" s="113"/>
      <c r="D68" s="5"/>
      <c r="E68" s="18"/>
      <c r="F68" s="18"/>
      <c r="G68" s="18"/>
      <c r="H68" s="14"/>
      <c r="I68" s="18"/>
      <c r="J68" s="18"/>
      <c r="K68" s="18"/>
      <c r="L68" s="16"/>
    </row>
    <row r="69" spans="1:12" ht="15.75" customHeight="1" x14ac:dyDescent="0.3">
      <c r="A69" s="5"/>
      <c r="B69" s="125"/>
      <c r="C69" s="113"/>
      <c r="D69" s="19" t="s">
        <v>18</v>
      </c>
      <c r="E69" s="18"/>
      <c r="F69" s="20">
        <v>10000</v>
      </c>
      <c r="G69" s="18"/>
      <c r="H69" s="13" t="s">
        <v>8</v>
      </c>
      <c r="I69" s="18"/>
      <c r="J69" s="21" t="s">
        <v>9</v>
      </c>
      <c r="K69" s="18"/>
      <c r="L69" s="22" t="s">
        <v>8</v>
      </c>
    </row>
    <row r="70" spans="1:12" ht="5.15" customHeight="1" x14ac:dyDescent="0.3">
      <c r="A70" s="5"/>
      <c r="B70" s="125"/>
      <c r="C70" s="114"/>
      <c r="D70" s="10"/>
      <c r="E70" s="11"/>
      <c r="F70" s="11"/>
      <c r="G70" s="11"/>
      <c r="H70" s="9"/>
      <c r="I70" s="11"/>
      <c r="J70" s="11"/>
      <c r="K70" s="11"/>
      <c r="L70" s="23"/>
    </row>
    <row r="71" spans="1:12" ht="5.15" customHeight="1" x14ac:dyDescent="0.3">
      <c r="A71" s="5"/>
      <c r="B71" s="125"/>
      <c r="C71" s="113"/>
      <c r="D71" s="5"/>
      <c r="E71" s="18"/>
      <c r="F71" s="18"/>
      <c r="G71" s="18"/>
      <c r="H71" s="14"/>
      <c r="I71" s="18"/>
      <c r="J71" s="18"/>
      <c r="K71" s="18"/>
      <c r="L71" s="16"/>
    </row>
    <row r="72" spans="1:12" ht="15.75" customHeight="1" x14ac:dyDescent="0.3">
      <c r="A72" s="5"/>
      <c r="B72" s="125"/>
      <c r="C72" s="113"/>
      <c r="D72" s="19" t="s">
        <v>19</v>
      </c>
      <c r="E72" s="18"/>
      <c r="F72" s="18"/>
      <c r="G72" s="18"/>
      <c r="H72" s="14"/>
      <c r="I72" s="18"/>
      <c r="J72" s="18"/>
      <c r="K72" s="18"/>
      <c r="L72" s="16"/>
    </row>
    <row r="73" spans="1:12" ht="22" customHeight="1" x14ac:dyDescent="0.3">
      <c r="A73" s="5"/>
      <c r="B73" s="125"/>
      <c r="C73" s="15"/>
      <c r="D73" s="5"/>
      <c r="E73" s="5"/>
      <c r="F73" s="5"/>
      <c r="G73" s="5"/>
      <c r="H73" s="14"/>
      <c r="I73" s="5"/>
      <c r="J73" s="5"/>
      <c r="K73" s="5"/>
      <c r="L73" s="16"/>
    </row>
    <row r="74" spans="1:12" ht="5.15" customHeight="1" thickBot="1" x14ac:dyDescent="0.35">
      <c r="A74" s="5"/>
      <c r="B74" s="132"/>
      <c r="C74" s="27"/>
      <c r="D74" s="28"/>
      <c r="E74" s="28"/>
      <c r="F74" s="28"/>
      <c r="G74" s="28"/>
      <c r="H74" s="32"/>
      <c r="I74" s="28"/>
      <c r="J74" s="28"/>
      <c r="K74" s="28"/>
      <c r="L74" s="29"/>
    </row>
    <row r="75" spans="1:12" ht="15.75" customHeight="1" x14ac:dyDescent="0.3">
      <c r="A75" s="5"/>
      <c r="B75" s="136" t="s">
        <v>12</v>
      </c>
      <c r="C75" s="30"/>
      <c r="D75" s="30"/>
      <c r="E75" s="30"/>
      <c r="F75" s="30"/>
      <c r="G75" s="30"/>
      <c r="H75" s="30"/>
      <c r="I75" s="30"/>
      <c r="J75" s="30"/>
      <c r="K75" s="30"/>
      <c r="L75" s="31"/>
    </row>
    <row r="76" spans="1:12" ht="18" customHeight="1" x14ac:dyDescent="0.3">
      <c r="A76" s="5"/>
      <c r="B76" s="125"/>
      <c r="C76" s="8"/>
      <c r="D76" s="9"/>
      <c r="E76" s="115" t="s">
        <v>3</v>
      </c>
      <c r="F76" s="116"/>
      <c r="G76" s="117"/>
      <c r="H76" s="7" t="s">
        <v>4</v>
      </c>
      <c r="I76" s="115" t="s">
        <v>5</v>
      </c>
      <c r="J76" s="116"/>
      <c r="K76" s="117"/>
      <c r="L76" s="17" t="s">
        <v>4</v>
      </c>
    </row>
    <row r="77" spans="1:12" ht="5.15" customHeight="1" x14ac:dyDescent="0.3">
      <c r="A77" s="5"/>
      <c r="B77" s="125"/>
      <c r="C77" s="112"/>
      <c r="D77" s="5"/>
      <c r="E77" s="18"/>
      <c r="F77" s="18"/>
      <c r="G77" s="18"/>
      <c r="H77" s="12"/>
      <c r="I77" s="18"/>
      <c r="J77" s="18"/>
      <c r="K77" s="18"/>
      <c r="L77" s="16"/>
    </row>
    <row r="78" spans="1:12" ht="15.75" customHeight="1" x14ac:dyDescent="0.3">
      <c r="A78" s="5"/>
      <c r="B78" s="125"/>
      <c r="C78" s="113"/>
      <c r="D78" s="19" t="s">
        <v>14</v>
      </c>
      <c r="E78" s="18"/>
      <c r="F78" s="20">
        <v>10000</v>
      </c>
      <c r="G78" s="18"/>
      <c r="H78" s="13" t="s">
        <v>8</v>
      </c>
      <c r="I78" s="18"/>
      <c r="J78" s="21" t="s">
        <v>9</v>
      </c>
      <c r="K78" s="18"/>
      <c r="L78" s="22" t="s">
        <v>8</v>
      </c>
    </row>
    <row r="79" spans="1:12" ht="5.15" customHeight="1" x14ac:dyDescent="0.3">
      <c r="A79" s="5"/>
      <c r="B79" s="125"/>
      <c r="C79" s="114"/>
      <c r="D79" s="10"/>
      <c r="E79" s="11"/>
      <c r="F79" s="11"/>
      <c r="G79" s="11"/>
      <c r="H79" s="9"/>
      <c r="I79" s="11"/>
      <c r="J79" s="11"/>
      <c r="K79" s="11"/>
      <c r="L79" s="23"/>
    </row>
    <row r="80" spans="1:12" ht="5.15" customHeight="1" x14ac:dyDescent="0.3">
      <c r="A80" s="5"/>
      <c r="B80" s="125"/>
      <c r="C80" s="113"/>
      <c r="D80" s="5"/>
      <c r="E80" s="18"/>
      <c r="F80" s="18"/>
      <c r="G80" s="18"/>
      <c r="H80" s="14"/>
      <c r="I80" s="18"/>
      <c r="J80" s="18"/>
      <c r="K80" s="18"/>
      <c r="L80" s="16"/>
    </row>
    <row r="81" spans="1:12" ht="15.75" customHeight="1" x14ac:dyDescent="0.3">
      <c r="A81" s="5"/>
      <c r="B81" s="125"/>
      <c r="C81" s="113"/>
      <c r="D81" s="19" t="s">
        <v>15</v>
      </c>
      <c r="E81" s="18"/>
      <c r="F81" s="20">
        <v>10000</v>
      </c>
      <c r="G81" s="18"/>
      <c r="H81" s="13" t="s">
        <v>8</v>
      </c>
      <c r="I81" s="18"/>
      <c r="J81" s="21" t="s">
        <v>9</v>
      </c>
      <c r="K81" s="18"/>
      <c r="L81" s="22" t="s">
        <v>8</v>
      </c>
    </row>
    <row r="82" spans="1:12" ht="5.15" customHeight="1" x14ac:dyDescent="0.3">
      <c r="A82" s="5"/>
      <c r="B82" s="125"/>
      <c r="C82" s="114"/>
      <c r="D82" s="10"/>
      <c r="E82" s="11"/>
      <c r="F82" s="11"/>
      <c r="G82" s="11"/>
      <c r="H82" s="9"/>
      <c r="I82" s="11"/>
      <c r="J82" s="11"/>
      <c r="K82" s="11"/>
      <c r="L82" s="23"/>
    </row>
    <row r="83" spans="1:12" ht="5.15" customHeight="1" x14ac:dyDescent="0.3">
      <c r="A83" s="5"/>
      <c r="B83" s="125"/>
      <c r="C83" s="113"/>
      <c r="D83" s="5"/>
      <c r="E83" s="18"/>
      <c r="F83" s="18"/>
      <c r="G83" s="18"/>
      <c r="H83" s="14"/>
      <c r="I83" s="18"/>
      <c r="J83" s="18"/>
      <c r="K83" s="18"/>
      <c r="L83" s="16"/>
    </row>
    <row r="84" spans="1:12" ht="15.75" customHeight="1" x14ac:dyDescent="0.3">
      <c r="A84" s="5"/>
      <c r="B84" s="125"/>
      <c r="C84" s="113"/>
      <c r="D84" s="19" t="s">
        <v>16</v>
      </c>
      <c r="E84" s="18"/>
      <c r="F84" s="20">
        <v>10000</v>
      </c>
      <c r="G84" s="18"/>
      <c r="H84" s="13" t="s">
        <v>8</v>
      </c>
      <c r="I84" s="18"/>
      <c r="J84" s="21" t="s">
        <v>9</v>
      </c>
      <c r="K84" s="18"/>
      <c r="L84" s="22" t="s">
        <v>8</v>
      </c>
    </row>
    <row r="85" spans="1:12" ht="5.15" customHeight="1" x14ac:dyDescent="0.3">
      <c r="A85" s="5"/>
      <c r="B85" s="125"/>
      <c r="C85" s="114"/>
      <c r="D85" s="10"/>
      <c r="E85" s="11"/>
      <c r="F85" s="11"/>
      <c r="G85" s="11"/>
      <c r="H85" s="9"/>
      <c r="I85" s="11"/>
      <c r="J85" s="11"/>
      <c r="K85" s="11"/>
      <c r="L85" s="23"/>
    </row>
    <row r="86" spans="1:12" ht="5.15" customHeight="1" x14ac:dyDescent="0.3">
      <c r="A86" s="5"/>
      <c r="B86" s="125"/>
      <c r="C86" s="113"/>
      <c r="D86" s="5"/>
      <c r="E86" s="18"/>
      <c r="F86" s="18"/>
      <c r="G86" s="18"/>
      <c r="H86" s="14"/>
      <c r="I86" s="18"/>
      <c r="J86" s="18"/>
      <c r="K86" s="18"/>
      <c r="L86" s="16"/>
    </row>
    <row r="87" spans="1:12" ht="15.75" customHeight="1" x14ac:dyDescent="0.3">
      <c r="A87" s="5"/>
      <c r="B87" s="125"/>
      <c r="C87" s="113"/>
      <c r="D87" s="19" t="s">
        <v>17</v>
      </c>
      <c r="E87" s="18"/>
      <c r="F87" s="52">
        <v>10000</v>
      </c>
      <c r="G87" s="18"/>
      <c r="H87" s="13" t="s">
        <v>8</v>
      </c>
      <c r="I87" s="18"/>
      <c r="J87" s="21" t="s">
        <v>9</v>
      </c>
      <c r="K87" s="18"/>
      <c r="L87" s="22"/>
    </row>
    <row r="88" spans="1:12" ht="5.15" customHeight="1" x14ac:dyDescent="0.3">
      <c r="A88" s="5"/>
      <c r="B88" s="125"/>
      <c r="C88" s="114"/>
      <c r="D88" s="10"/>
      <c r="E88" s="11"/>
      <c r="F88" s="11"/>
      <c r="G88" s="11"/>
      <c r="H88" s="9"/>
      <c r="I88" s="11"/>
      <c r="J88" s="11"/>
      <c r="K88" s="11"/>
      <c r="L88" s="23"/>
    </row>
    <row r="89" spans="1:12" ht="5.15" customHeight="1" x14ac:dyDescent="0.3">
      <c r="A89" s="5"/>
      <c r="B89" s="125"/>
      <c r="C89" s="113"/>
      <c r="D89" s="5"/>
      <c r="E89" s="18"/>
      <c r="F89" s="18"/>
      <c r="G89" s="18"/>
      <c r="H89" s="14"/>
      <c r="I89" s="18"/>
      <c r="J89" s="18"/>
      <c r="K89" s="18"/>
      <c r="L89" s="16"/>
    </row>
    <row r="90" spans="1:12" ht="15.75" customHeight="1" x14ac:dyDescent="0.3">
      <c r="A90" s="5"/>
      <c r="B90" s="125"/>
      <c r="C90" s="113"/>
      <c r="D90" s="19" t="s">
        <v>18</v>
      </c>
      <c r="E90" s="18"/>
      <c r="F90" s="20">
        <v>10000</v>
      </c>
      <c r="G90" s="18"/>
      <c r="H90" s="13" t="s">
        <v>8</v>
      </c>
      <c r="I90" s="18"/>
      <c r="J90" s="21" t="s">
        <v>9</v>
      </c>
      <c r="K90" s="18"/>
      <c r="L90" s="22" t="s">
        <v>8</v>
      </c>
    </row>
    <row r="91" spans="1:12" ht="5.15" customHeight="1" x14ac:dyDescent="0.3">
      <c r="A91" s="5"/>
      <c r="B91" s="125"/>
      <c r="C91" s="114"/>
      <c r="D91" s="10"/>
      <c r="E91" s="11"/>
      <c r="F91" s="11"/>
      <c r="G91" s="11"/>
      <c r="H91" s="9"/>
      <c r="I91" s="11"/>
      <c r="J91" s="11"/>
      <c r="K91" s="11"/>
      <c r="L91" s="23"/>
    </row>
    <row r="92" spans="1:12" ht="5.15" customHeight="1" x14ac:dyDescent="0.3">
      <c r="A92" s="5"/>
      <c r="B92" s="125"/>
      <c r="C92" s="113"/>
      <c r="D92" s="5"/>
      <c r="E92" s="18"/>
      <c r="F92" s="18"/>
      <c r="G92" s="18"/>
      <c r="H92" s="14"/>
      <c r="I92" s="18"/>
      <c r="J92" s="18"/>
      <c r="K92" s="18"/>
      <c r="L92" s="16"/>
    </row>
    <row r="93" spans="1:12" ht="15.75" customHeight="1" x14ac:dyDescent="0.3">
      <c r="A93" s="5"/>
      <c r="B93" s="125"/>
      <c r="C93" s="113"/>
      <c r="D93" s="19" t="s">
        <v>19</v>
      </c>
      <c r="E93" s="18"/>
      <c r="F93" s="18"/>
      <c r="G93" s="18"/>
      <c r="H93" s="14"/>
      <c r="I93" s="18"/>
      <c r="J93" s="18"/>
      <c r="K93" s="18"/>
      <c r="L93" s="16"/>
    </row>
    <row r="94" spans="1:12" ht="5.15" customHeight="1" x14ac:dyDescent="0.3">
      <c r="A94" s="5"/>
      <c r="B94" s="125"/>
      <c r="C94" s="15"/>
      <c r="D94" s="19"/>
      <c r="E94" s="18"/>
      <c r="F94" s="18"/>
      <c r="G94" s="18"/>
      <c r="H94" s="14"/>
      <c r="I94" s="18"/>
      <c r="J94" s="18"/>
      <c r="K94" s="18"/>
      <c r="L94" s="16"/>
    </row>
    <row r="95" spans="1:12" ht="15.75" customHeight="1" x14ac:dyDescent="0.3">
      <c r="A95" s="5"/>
      <c r="B95" s="125"/>
      <c r="C95" s="15"/>
      <c r="D95" s="46" t="s">
        <v>34</v>
      </c>
      <c r="E95" s="18"/>
      <c r="F95" s="45">
        <v>10000</v>
      </c>
      <c r="G95" s="18"/>
      <c r="H95" s="47" t="s">
        <v>8</v>
      </c>
      <c r="I95" s="18"/>
      <c r="J95" s="21" t="s">
        <v>9</v>
      </c>
      <c r="K95" s="18"/>
      <c r="L95" s="22"/>
    </row>
    <row r="96" spans="1:12" ht="5.15" customHeight="1" x14ac:dyDescent="0.3">
      <c r="A96" s="5"/>
      <c r="B96" s="125"/>
      <c r="C96" s="15"/>
      <c r="D96" s="48"/>
      <c r="E96" s="11"/>
      <c r="F96" s="11"/>
      <c r="G96" s="11"/>
      <c r="H96" s="9"/>
      <c r="I96" s="11"/>
      <c r="J96" s="11"/>
      <c r="K96" s="11"/>
      <c r="L96" s="23"/>
    </row>
    <row r="97" spans="1:12" ht="5.15" customHeight="1" x14ac:dyDescent="0.3">
      <c r="A97" s="5"/>
      <c r="B97" s="125"/>
      <c r="C97" s="15"/>
      <c r="D97" s="19"/>
      <c r="E97" s="18"/>
      <c r="F97" s="18"/>
      <c r="G97" s="18"/>
      <c r="H97" s="14"/>
      <c r="I97" s="18"/>
      <c r="J97" s="18"/>
      <c r="K97" s="18"/>
      <c r="L97" s="16"/>
    </row>
    <row r="98" spans="1:12" ht="15.75" customHeight="1" x14ac:dyDescent="0.3">
      <c r="A98" s="5"/>
      <c r="B98" s="125"/>
      <c r="C98" s="15"/>
      <c r="D98" s="46" t="s">
        <v>115</v>
      </c>
      <c r="E98" s="18"/>
      <c r="F98" s="43" t="s">
        <v>9</v>
      </c>
      <c r="G98" s="18"/>
      <c r="H98" s="13" t="s">
        <v>8</v>
      </c>
      <c r="I98" s="18"/>
      <c r="J98" s="21" t="s">
        <v>9</v>
      </c>
      <c r="K98" s="18"/>
      <c r="L98" s="22"/>
    </row>
    <row r="99" spans="1:12" ht="5.15" customHeight="1" x14ac:dyDescent="0.3">
      <c r="A99" s="5"/>
      <c r="B99" s="125"/>
      <c r="C99" s="15"/>
      <c r="D99" s="48"/>
      <c r="E99" s="11"/>
      <c r="F99" s="11"/>
      <c r="G99" s="11"/>
      <c r="H99" s="9"/>
      <c r="I99" s="11"/>
      <c r="J99" s="11"/>
      <c r="K99" s="11"/>
      <c r="L99" s="23"/>
    </row>
    <row r="100" spans="1:12" ht="5.15" customHeight="1" x14ac:dyDescent="0.3">
      <c r="A100" s="5"/>
      <c r="B100" s="125"/>
      <c r="C100" s="15"/>
      <c r="D100" s="19"/>
      <c r="E100" s="18"/>
      <c r="F100" s="18"/>
      <c r="G100" s="18"/>
      <c r="H100" s="14"/>
      <c r="I100" s="18"/>
      <c r="J100" s="18"/>
      <c r="K100" s="18"/>
      <c r="L100" s="16"/>
    </row>
    <row r="101" spans="1:12" ht="15.75" customHeight="1" x14ac:dyDescent="0.3">
      <c r="A101" s="5"/>
      <c r="B101" s="125"/>
      <c r="C101" s="15"/>
      <c r="D101" s="46" t="s">
        <v>161</v>
      </c>
      <c r="E101" s="18"/>
      <c r="F101" s="76">
        <v>0.09</v>
      </c>
      <c r="G101" s="18"/>
      <c r="H101" s="13" t="s">
        <v>8</v>
      </c>
      <c r="I101" s="18"/>
      <c r="J101" s="21" t="s">
        <v>9</v>
      </c>
      <c r="K101" s="18"/>
      <c r="L101" s="22"/>
    </row>
    <row r="102" spans="1:12" ht="5.15" customHeight="1" x14ac:dyDescent="0.3">
      <c r="A102" s="5"/>
      <c r="B102" s="125"/>
      <c r="C102" s="15"/>
      <c r="D102" s="48"/>
      <c r="E102" s="11"/>
      <c r="F102" s="11"/>
      <c r="G102" s="11"/>
      <c r="H102" s="9"/>
      <c r="I102" s="11"/>
      <c r="J102" s="11"/>
      <c r="K102" s="11"/>
      <c r="L102" s="23"/>
    </row>
    <row r="103" spans="1:12" ht="22" customHeight="1" x14ac:dyDescent="0.3">
      <c r="A103" s="5"/>
      <c r="B103" s="125"/>
      <c r="C103" s="15"/>
      <c r="D103" s="5"/>
      <c r="E103" s="5"/>
      <c r="F103" s="5"/>
      <c r="G103" s="5"/>
      <c r="H103" s="14"/>
      <c r="I103" s="5"/>
      <c r="J103" s="5"/>
      <c r="K103" s="5"/>
      <c r="L103" s="16"/>
    </row>
    <row r="104" spans="1:12" ht="5.15" customHeight="1" thickBot="1" x14ac:dyDescent="0.35">
      <c r="A104" s="5"/>
      <c r="B104" s="132"/>
      <c r="C104" s="27"/>
      <c r="D104" s="28"/>
      <c r="E104" s="28"/>
      <c r="F104" s="28"/>
      <c r="G104" s="28"/>
      <c r="H104" s="32"/>
      <c r="I104" s="28"/>
      <c r="J104" s="28"/>
      <c r="K104" s="28"/>
      <c r="L104" s="29"/>
    </row>
    <row r="105" spans="1:12" ht="24.65" customHeight="1" x14ac:dyDescent="0.3">
      <c r="A105" s="5"/>
      <c r="B105" s="5"/>
      <c r="C105" s="5"/>
      <c r="D105" s="5"/>
      <c r="E105" s="5"/>
      <c r="F105" s="5"/>
      <c r="G105" s="5"/>
      <c r="H105" s="5"/>
      <c r="I105" s="5"/>
      <c r="J105" s="5"/>
      <c r="K105" s="5"/>
      <c r="L105" s="5"/>
    </row>
    <row r="106" spans="1:12" ht="14.5" thickBot="1" x14ac:dyDescent="0.35">
      <c r="A106" s="5"/>
      <c r="B106" s="5"/>
      <c r="C106" s="5"/>
      <c r="D106" s="5"/>
      <c r="E106" s="5"/>
      <c r="F106" s="5"/>
      <c r="G106" s="5"/>
      <c r="H106" s="5"/>
      <c r="I106" s="5"/>
      <c r="J106" s="5"/>
      <c r="K106" s="5"/>
      <c r="L106" s="5"/>
    </row>
    <row r="107" spans="1:12" ht="28.4" customHeight="1" x14ac:dyDescent="0.3">
      <c r="A107" s="5"/>
      <c r="B107" s="118" t="s">
        <v>20</v>
      </c>
      <c r="C107" s="119"/>
      <c r="D107" s="119"/>
      <c r="E107" s="119"/>
      <c r="F107" s="119"/>
      <c r="G107" s="119"/>
      <c r="H107" s="119"/>
      <c r="I107" s="119"/>
      <c r="J107" s="119"/>
      <c r="K107" s="119"/>
      <c r="L107" s="120"/>
    </row>
    <row r="108" spans="1:12" ht="28.4" customHeight="1" x14ac:dyDescent="0.3">
      <c r="A108" s="5"/>
      <c r="B108" s="121"/>
      <c r="C108" s="122"/>
      <c r="D108" s="122"/>
      <c r="E108" s="122"/>
      <c r="F108" s="122"/>
      <c r="G108" s="122"/>
      <c r="H108" s="122"/>
      <c r="I108" s="122"/>
      <c r="J108" s="122"/>
      <c r="K108" s="122"/>
      <c r="L108" s="123"/>
    </row>
    <row r="109" spans="1:12" ht="21.75" customHeight="1" x14ac:dyDescent="0.3">
      <c r="A109" s="5"/>
      <c r="B109" s="124" t="s">
        <v>6</v>
      </c>
      <c r="C109" s="5"/>
      <c r="D109" s="5"/>
      <c r="E109" s="5"/>
      <c r="F109" s="5"/>
      <c r="G109" s="5"/>
      <c r="H109" s="5"/>
      <c r="I109" s="5"/>
      <c r="J109" s="5"/>
      <c r="K109" s="5"/>
      <c r="L109" s="16"/>
    </row>
    <row r="110" spans="1:12" ht="18" customHeight="1" x14ac:dyDescent="0.3">
      <c r="A110" s="5"/>
      <c r="B110" s="125"/>
      <c r="C110" s="8"/>
      <c r="D110" s="9"/>
      <c r="E110" s="115" t="s">
        <v>3</v>
      </c>
      <c r="F110" s="116"/>
      <c r="G110" s="117"/>
      <c r="H110" s="7" t="s">
        <v>4</v>
      </c>
      <c r="I110" s="115" t="s">
        <v>5</v>
      </c>
      <c r="J110" s="116"/>
      <c r="K110" s="117"/>
      <c r="L110" s="17" t="s">
        <v>4</v>
      </c>
    </row>
    <row r="111" spans="1:12" ht="5.15" customHeight="1" x14ac:dyDescent="0.3">
      <c r="A111" s="5"/>
      <c r="B111" s="125"/>
      <c r="C111" s="112"/>
      <c r="D111" s="5"/>
      <c r="E111" s="18"/>
      <c r="F111" s="18"/>
      <c r="G111" s="18"/>
      <c r="H111" s="12"/>
      <c r="I111" s="18"/>
      <c r="J111" s="18"/>
      <c r="K111" s="18"/>
      <c r="L111" s="16"/>
    </row>
    <row r="112" spans="1:12" ht="15.75" customHeight="1" x14ac:dyDescent="0.3">
      <c r="A112" s="5"/>
      <c r="B112" s="125"/>
      <c r="C112" s="113"/>
      <c r="D112" s="19" t="s">
        <v>21</v>
      </c>
      <c r="E112" s="18"/>
      <c r="F112" s="20">
        <v>10000</v>
      </c>
      <c r="G112" s="18"/>
      <c r="H112" s="13" t="s">
        <v>8</v>
      </c>
      <c r="I112" s="18"/>
      <c r="J112" s="21" t="s">
        <v>9</v>
      </c>
      <c r="K112" s="18"/>
      <c r="L112" s="22" t="s">
        <v>8</v>
      </c>
    </row>
    <row r="113" spans="1:12" ht="5.15" customHeight="1" x14ac:dyDescent="0.3">
      <c r="A113" s="5"/>
      <c r="B113" s="125"/>
      <c r="C113" s="114"/>
      <c r="D113" s="10"/>
      <c r="E113" s="11"/>
      <c r="F113" s="11"/>
      <c r="G113" s="11"/>
      <c r="H113" s="9"/>
      <c r="I113" s="11"/>
      <c r="J113" s="11"/>
      <c r="K113" s="11"/>
      <c r="L113" s="23"/>
    </row>
    <row r="114" spans="1:12" ht="5.15" customHeight="1" x14ac:dyDescent="0.3">
      <c r="A114" s="5"/>
      <c r="B114" s="125"/>
      <c r="C114" s="113"/>
      <c r="D114" s="5"/>
      <c r="E114" s="18"/>
      <c r="F114" s="18"/>
      <c r="G114" s="18"/>
      <c r="H114" s="14"/>
      <c r="I114" s="18"/>
      <c r="J114" s="18"/>
      <c r="K114" s="18"/>
      <c r="L114" s="16"/>
    </row>
    <row r="115" spans="1:12" ht="15.75" customHeight="1" x14ac:dyDescent="0.3">
      <c r="A115" s="5"/>
      <c r="B115" s="125"/>
      <c r="C115" s="113"/>
      <c r="D115" s="19" t="s">
        <v>22</v>
      </c>
      <c r="E115" s="18"/>
      <c r="F115" s="20">
        <v>10000</v>
      </c>
      <c r="G115" s="18"/>
      <c r="H115" s="13" t="s">
        <v>8</v>
      </c>
      <c r="I115" s="18"/>
      <c r="J115" s="21" t="s">
        <v>9</v>
      </c>
      <c r="K115" s="18"/>
      <c r="L115" s="22" t="s">
        <v>8</v>
      </c>
    </row>
    <row r="116" spans="1:12" ht="5.15" customHeight="1" x14ac:dyDescent="0.3">
      <c r="A116" s="5"/>
      <c r="B116" s="126"/>
      <c r="C116" s="114"/>
      <c r="D116" s="10"/>
      <c r="E116" s="11"/>
      <c r="F116" s="11"/>
      <c r="G116" s="11"/>
      <c r="H116" s="9"/>
      <c r="I116" s="11"/>
      <c r="J116" s="11"/>
      <c r="K116" s="11"/>
      <c r="L116" s="23"/>
    </row>
    <row r="117" spans="1:12" ht="21.75" customHeight="1" x14ac:dyDescent="0.3">
      <c r="A117" s="5"/>
      <c r="B117" s="124" t="s">
        <v>12</v>
      </c>
      <c r="C117" s="5"/>
      <c r="D117" s="5"/>
      <c r="E117" s="5"/>
      <c r="F117" s="5"/>
      <c r="G117" s="5"/>
      <c r="H117" s="5"/>
      <c r="I117" s="5"/>
      <c r="J117" s="5"/>
      <c r="K117" s="5"/>
      <c r="L117" s="16"/>
    </row>
    <row r="118" spans="1:12" ht="18" customHeight="1" x14ac:dyDescent="0.3">
      <c r="A118" s="5"/>
      <c r="B118" s="125"/>
      <c r="C118" s="8"/>
      <c r="D118" s="9"/>
      <c r="E118" s="115" t="s">
        <v>3</v>
      </c>
      <c r="F118" s="116"/>
      <c r="G118" s="117"/>
      <c r="H118" s="7" t="s">
        <v>4</v>
      </c>
      <c r="I118" s="115" t="s">
        <v>5</v>
      </c>
      <c r="J118" s="116"/>
      <c r="K118" s="117"/>
      <c r="L118" s="17" t="s">
        <v>4</v>
      </c>
    </row>
    <row r="119" spans="1:12" ht="5.15" customHeight="1" x14ac:dyDescent="0.3">
      <c r="A119" s="5"/>
      <c r="B119" s="125"/>
      <c r="C119" s="112"/>
      <c r="D119" s="5"/>
      <c r="E119" s="18"/>
      <c r="F119" s="18"/>
      <c r="G119" s="18"/>
      <c r="H119" s="12"/>
      <c r="I119" s="18"/>
      <c r="J119" s="18"/>
      <c r="K119" s="18"/>
      <c r="L119" s="16"/>
    </row>
    <row r="120" spans="1:12" ht="15.75" customHeight="1" x14ac:dyDescent="0.3">
      <c r="A120" s="5"/>
      <c r="B120" s="125"/>
      <c r="C120" s="113"/>
      <c r="D120" s="19" t="s">
        <v>21</v>
      </c>
      <c r="E120" s="18"/>
      <c r="F120" s="20">
        <v>10000</v>
      </c>
      <c r="G120" s="18"/>
      <c r="H120" s="13" t="s">
        <v>8</v>
      </c>
      <c r="I120" s="18"/>
      <c r="J120" s="21" t="s">
        <v>9</v>
      </c>
      <c r="K120" s="18"/>
      <c r="L120" s="22" t="s">
        <v>8</v>
      </c>
    </row>
    <row r="121" spans="1:12" ht="5.15" customHeight="1" x14ac:dyDescent="0.3">
      <c r="A121" s="5"/>
      <c r="B121" s="125"/>
      <c r="C121" s="114"/>
      <c r="D121" s="10"/>
      <c r="E121" s="11"/>
      <c r="F121" s="11"/>
      <c r="G121" s="11"/>
      <c r="H121" s="9"/>
      <c r="I121" s="11"/>
      <c r="J121" s="11"/>
      <c r="K121" s="11"/>
      <c r="L121" s="23"/>
    </row>
    <row r="122" spans="1:12" ht="5.15" customHeight="1" x14ac:dyDescent="0.3">
      <c r="A122" s="5"/>
      <c r="B122" s="125"/>
      <c r="C122" s="113"/>
      <c r="D122" s="5"/>
      <c r="E122" s="18"/>
      <c r="F122" s="18"/>
      <c r="G122" s="18"/>
      <c r="H122" s="14"/>
      <c r="I122" s="18"/>
      <c r="J122" s="18"/>
      <c r="K122" s="18"/>
      <c r="L122" s="16"/>
    </row>
    <row r="123" spans="1:12" ht="15.75" customHeight="1" x14ac:dyDescent="0.3">
      <c r="A123" s="5"/>
      <c r="B123" s="125"/>
      <c r="C123" s="113"/>
      <c r="D123" s="19" t="s">
        <v>22</v>
      </c>
      <c r="E123" s="18"/>
      <c r="F123" s="20">
        <v>10000</v>
      </c>
      <c r="G123" s="18"/>
      <c r="H123" s="13" t="s">
        <v>8</v>
      </c>
      <c r="I123" s="18"/>
      <c r="J123" s="21" t="s">
        <v>9</v>
      </c>
      <c r="K123" s="18"/>
      <c r="L123" s="22" t="s">
        <v>8</v>
      </c>
    </row>
    <row r="124" spans="1:12" ht="5.15" customHeight="1" thickBot="1" x14ac:dyDescent="0.35">
      <c r="A124" s="5"/>
      <c r="B124" s="132"/>
      <c r="C124" s="131"/>
      <c r="D124" s="28"/>
      <c r="E124" s="33"/>
      <c r="F124" s="33"/>
      <c r="G124" s="33"/>
      <c r="H124" s="32"/>
      <c r="I124" s="33"/>
      <c r="J124" s="33"/>
      <c r="K124" s="33"/>
      <c r="L124" s="29"/>
    </row>
    <row r="125" spans="1:12" ht="15" customHeight="1" x14ac:dyDescent="0.3">
      <c r="A125" s="5"/>
      <c r="B125" s="5"/>
      <c r="C125" s="5"/>
      <c r="D125" s="5"/>
      <c r="E125" s="5"/>
      <c r="F125" s="5"/>
      <c r="G125" s="5"/>
      <c r="H125" s="5"/>
      <c r="I125" s="5"/>
      <c r="J125" s="5"/>
      <c r="K125" s="5"/>
      <c r="L125" s="5"/>
    </row>
    <row r="126" spans="1:12" x14ac:dyDescent="0.3">
      <c r="A126" s="5"/>
      <c r="B126" s="5"/>
      <c r="C126" s="5"/>
      <c r="D126" s="5"/>
      <c r="E126" s="5"/>
      <c r="F126" s="5"/>
      <c r="G126" s="5"/>
      <c r="H126" s="5"/>
      <c r="I126" s="5"/>
      <c r="J126" s="5"/>
      <c r="K126" s="5"/>
      <c r="L126" s="5"/>
    </row>
    <row r="127" spans="1:12" ht="28.4" customHeight="1" x14ac:dyDescent="0.3">
      <c r="A127" s="5"/>
      <c r="B127" s="133" t="s">
        <v>23</v>
      </c>
      <c r="C127" s="134"/>
      <c r="D127" s="134"/>
      <c r="E127" s="134"/>
      <c r="F127" s="134"/>
      <c r="G127" s="134"/>
      <c r="H127" s="134"/>
      <c r="I127" s="134"/>
      <c r="J127" s="134"/>
      <c r="K127" s="134"/>
      <c r="L127" s="135"/>
    </row>
    <row r="128" spans="1:12" ht="18" customHeight="1" x14ac:dyDescent="0.3">
      <c r="A128" s="5"/>
      <c r="B128" s="127"/>
      <c r="C128" s="5"/>
      <c r="D128" s="5"/>
      <c r="E128" s="5"/>
      <c r="F128" s="5"/>
      <c r="G128" s="5"/>
      <c r="H128" s="5"/>
      <c r="I128" s="5"/>
      <c r="J128" s="5"/>
      <c r="K128" s="5"/>
      <c r="L128" s="14"/>
    </row>
    <row r="129" spans="1:12" ht="17.149999999999999" customHeight="1" x14ac:dyDescent="0.3">
      <c r="A129" s="5"/>
      <c r="B129" s="127"/>
      <c r="C129" s="8"/>
      <c r="D129" s="9"/>
      <c r="E129" s="115" t="s">
        <v>5</v>
      </c>
      <c r="F129" s="116"/>
      <c r="G129" s="117"/>
      <c r="H129" s="115" t="s">
        <v>4</v>
      </c>
      <c r="I129" s="116"/>
      <c r="J129" s="116"/>
      <c r="K129" s="116"/>
      <c r="L129" s="117"/>
    </row>
    <row r="130" spans="1:12" ht="5.15" customHeight="1" x14ac:dyDescent="0.3">
      <c r="A130" s="5"/>
      <c r="B130" s="127"/>
      <c r="C130" s="112"/>
      <c r="D130" s="5"/>
      <c r="E130" s="18"/>
      <c r="F130" s="18"/>
      <c r="G130" s="18"/>
      <c r="H130" s="5"/>
      <c r="I130" s="5"/>
      <c r="J130" s="5"/>
      <c r="K130" s="5"/>
      <c r="L130" s="14"/>
    </row>
    <row r="131" spans="1:12" ht="15.75" customHeight="1" x14ac:dyDescent="0.3">
      <c r="A131" s="5"/>
      <c r="B131" s="127"/>
      <c r="C131" s="113"/>
      <c r="D131" s="19" t="s">
        <v>7</v>
      </c>
      <c r="E131" s="18"/>
      <c r="F131" s="21" t="s">
        <v>9</v>
      </c>
      <c r="G131" s="18"/>
      <c r="H131" s="129" t="s">
        <v>8</v>
      </c>
      <c r="I131" s="129"/>
      <c r="J131" s="129"/>
      <c r="K131" s="129"/>
      <c r="L131" s="130"/>
    </row>
    <row r="132" spans="1:12" ht="5.15" customHeight="1" x14ac:dyDescent="0.3">
      <c r="A132" s="5"/>
      <c r="B132" s="127"/>
      <c r="C132" s="114"/>
      <c r="D132" s="10"/>
      <c r="E132" s="11"/>
      <c r="F132" s="11"/>
      <c r="G132" s="11"/>
      <c r="H132" s="10"/>
      <c r="I132" s="10"/>
      <c r="J132" s="10"/>
      <c r="K132" s="10"/>
      <c r="L132" s="9"/>
    </row>
    <row r="133" spans="1:12" ht="5.15" customHeight="1" x14ac:dyDescent="0.3">
      <c r="A133" s="5"/>
      <c r="B133" s="127"/>
      <c r="C133" s="113"/>
      <c r="D133" s="5"/>
      <c r="E133" s="18"/>
      <c r="F133" s="18"/>
      <c r="G133" s="18"/>
      <c r="H133" s="5"/>
      <c r="I133" s="5"/>
      <c r="J133" s="5"/>
      <c r="K133" s="5"/>
      <c r="L133" s="14"/>
    </row>
    <row r="134" spans="1:12" ht="15.75" customHeight="1" x14ac:dyDescent="0.3">
      <c r="A134" s="5"/>
      <c r="B134" s="127"/>
      <c r="C134" s="113"/>
      <c r="D134" s="19" t="s">
        <v>24</v>
      </c>
      <c r="E134" s="18"/>
      <c r="F134" s="18"/>
      <c r="G134" s="18"/>
      <c r="H134" s="5"/>
      <c r="I134" s="5"/>
      <c r="J134" s="5"/>
      <c r="K134" s="5"/>
      <c r="L134" s="14"/>
    </row>
    <row r="135" spans="1:12" ht="22" customHeight="1" x14ac:dyDescent="0.3">
      <c r="A135" s="5"/>
      <c r="B135" s="127"/>
      <c r="C135" s="15"/>
      <c r="D135" s="5"/>
      <c r="E135" s="5"/>
      <c r="F135" s="5"/>
      <c r="G135" s="5"/>
      <c r="H135" s="5"/>
      <c r="I135" s="5"/>
      <c r="J135" s="5"/>
      <c r="K135" s="5"/>
      <c r="L135" s="14"/>
    </row>
    <row r="136" spans="1:12" ht="5.15" customHeight="1" x14ac:dyDescent="0.3">
      <c r="A136" s="5"/>
      <c r="B136" s="128"/>
      <c r="C136" s="34"/>
      <c r="D136" s="10"/>
      <c r="E136" s="10"/>
      <c r="F136" s="10"/>
      <c r="G136" s="10"/>
      <c r="H136" s="10"/>
      <c r="I136" s="10"/>
      <c r="J136" s="10"/>
      <c r="K136" s="10"/>
      <c r="L136" s="9"/>
    </row>
    <row r="137" spans="1:12" x14ac:dyDescent="0.3">
      <c r="A137" s="5"/>
      <c r="B137" s="5"/>
      <c r="C137" s="5"/>
      <c r="D137" s="5"/>
      <c r="E137" s="5"/>
      <c r="F137" s="5"/>
      <c r="G137" s="5"/>
      <c r="H137" s="5"/>
      <c r="I137" s="5"/>
      <c r="J137" s="5"/>
      <c r="K137" s="5"/>
      <c r="L137" s="5"/>
    </row>
    <row r="138" spans="1:12" x14ac:dyDescent="0.3">
      <c r="A138" s="5"/>
      <c r="B138" s="5"/>
      <c r="C138" s="5"/>
      <c r="D138" s="5"/>
      <c r="E138" s="5"/>
      <c r="F138" s="5"/>
      <c r="G138" s="5"/>
      <c r="H138" s="5"/>
      <c r="I138" s="5"/>
      <c r="J138" s="5"/>
      <c r="K138" s="5"/>
      <c r="L138" s="5"/>
    </row>
    <row r="139" spans="1:12" ht="28.4" customHeight="1" x14ac:dyDescent="0.3">
      <c r="A139" s="5"/>
      <c r="B139" s="5"/>
      <c r="C139" s="5"/>
      <c r="D139" s="5"/>
      <c r="E139" s="5"/>
      <c r="F139" s="5"/>
      <c r="G139" s="5"/>
      <c r="H139" s="5"/>
      <c r="I139" s="5"/>
      <c r="J139" s="5"/>
      <c r="K139" s="5"/>
      <c r="L139" s="5"/>
    </row>
    <row r="140" spans="1:12" ht="28.4" customHeight="1" x14ac:dyDescent="0.3">
      <c r="A140" s="5"/>
      <c r="B140" s="5"/>
      <c r="C140" s="5"/>
      <c r="D140" s="5"/>
      <c r="E140" s="5"/>
      <c r="F140" s="5"/>
      <c r="G140" s="5"/>
      <c r="H140" s="5"/>
      <c r="I140" s="5"/>
      <c r="J140" s="5"/>
      <c r="K140" s="5"/>
      <c r="L140" s="5"/>
    </row>
    <row r="141" spans="1:12" ht="18" customHeight="1" x14ac:dyDescent="0.3">
      <c r="A141" s="5"/>
      <c r="B141" s="5"/>
      <c r="C141" s="5"/>
      <c r="D141" s="5"/>
      <c r="E141" s="5"/>
      <c r="F141" s="5"/>
      <c r="G141" s="5"/>
      <c r="H141" s="5"/>
      <c r="I141" s="5"/>
      <c r="J141" s="5"/>
      <c r="K141" s="5"/>
      <c r="L141" s="5"/>
    </row>
    <row r="142" spans="1:12" ht="17.149999999999999" customHeight="1" x14ac:dyDescent="0.3">
      <c r="A142" s="5"/>
      <c r="B142" s="5"/>
      <c r="C142" s="5"/>
      <c r="D142" s="5"/>
      <c r="E142" s="5"/>
      <c r="F142" s="5"/>
      <c r="G142" s="5"/>
      <c r="H142" s="5"/>
      <c r="I142" s="5"/>
      <c r="J142" s="5"/>
      <c r="K142" s="5"/>
      <c r="L142" s="5"/>
    </row>
    <row r="143" spans="1:12" ht="5.15" customHeight="1" x14ac:dyDescent="0.3">
      <c r="A143" s="5"/>
      <c r="B143" s="5"/>
      <c r="C143" s="5"/>
      <c r="D143" s="5"/>
      <c r="E143" s="5"/>
      <c r="F143" s="5"/>
      <c r="G143" s="5"/>
      <c r="H143" s="5"/>
      <c r="I143" s="5"/>
      <c r="J143" s="5"/>
      <c r="K143" s="5"/>
      <c r="L143" s="5"/>
    </row>
    <row r="144" spans="1:12" ht="15.75" customHeight="1" x14ac:dyDescent="0.3"/>
    <row r="145" ht="5.15" customHeight="1" x14ac:dyDescent="0.3"/>
    <row r="146" ht="5.15" customHeight="1" x14ac:dyDescent="0.3"/>
    <row r="147" ht="15.75" customHeight="1" x14ac:dyDescent="0.3"/>
    <row r="148" ht="5.15" customHeight="1" x14ac:dyDescent="0.3"/>
  </sheetData>
  <sheetProtection algorithmName="SHA-512" hashValue="id50FE1E9JNtdr3ii0d9R8ZVEj2oeQBFB8WnWg3MAM6qyL951DbRSqzD1iu0fBOoKSGiOVU512GM+TgfdS1qXQ==" saltValue="4WFuTbbDWLZg8Gj01/cTbg==" spinCount="100000" sheet="1" objects="1" scenarios="1" formatCells="0" formatColumns="0" formatRows="0"/>
  <mergeCells count="59">
    <mergeCell ref="B1:L1"/>
    <mergeCell ref="B5:L5"/>
    <mergeCell ref="B6:L6"/>
    <mergeCell ref="B7:B27"/>
    <mergeCell ref="Q7:Q19"/>
    <mergeCell ref="E9:G9"/>
    <mergeCell ref="I9:K9"/>
    <mergeCell ref="C10:C12"/>
    <mergeCell ref="C13:C15"/>
    <mergeCell ref="C16:C17"/>
    <mergeCell ref="D16:D17"/>
    <mergeCell ref="Q22:Q29"/>
    <mergeCell ref="B28:B48"/>
    <mergeCell ref="E30:G30"/>
    <mergeCell ref="I30:K30"/>
    <mergeCell ref="C31:C33"/>
    <mergeCell ref="Q33:Q39"/>
    <mergeCell ref="C34:C36"/>
    <mergeCell ref="C37:C38"/>
    <mergeCell ref="D37:D38"/>
    <mergeCell ref="B52:L52"/>
    <mergeCell ref="B53:L53"/>
    <mergeCell ref="B54:B74"/>
    <mergeCell ref="E55:G55"/>
    <mergeCell ref="I55:K55"/>
    <mergeCell ref="C56:C58"/>
    <mergeCell ref="C59:C61"/>
    <mergeCell ref="C62:C64"/>
    <mergeCell ref="C65:C67"/>
    <mergeCell ref="C68:C70"/>
    <mergeCell ref="C71:C72"/>
    <mergeCell ref="B75:B104"/>
    <mergeCell ref="E76:G76"/>
    <mergeCell ref="I76:K76"/>
    <mergeCell ref="C77:C79"/>
    <mergeCell ref="C80:C82"/>
    <mergeCell ref="C83:C85"/>
    <mergeCell ref="C86:C88"/>
    <mergeCell ref="C89:C91"/>
    <mergeCell ref="C92:C93"/>
    <mergeCell ref="B127:L127"/>
    <mergeCell ref="B107:L107"/>
    <mergeCell ref="B108:L108"/>
    <mergeCell ref="B109:B116"/>
    <mergeCell ref="E110:G110"/>
    <mergeCell ref="I110:K110"/>
    <mergeCell ref="C111:C113"/>
    <mergeCell ref="C114:C116"/>
    <mergeCell ref="B117:B124"/>
    <mergeCell ref="E118:G118"/>
    <mergeCell ref="I118:K118"/>
    <mergeCell ref="C119:C121"/>
    <mergeCell ref="C122:C124"/>
    <mergeCell ref="B128:B136"/>
    <mergeCell ref="E129:G129"/>
    <mergeCell ref="H129:L129"/>
    <mergeCell ref="C130:C132"/>
    <mergeCell ref="H131:L131"/>
    <mergeCell ref="C133:C134"/>
  </mergeCells>
  <conditionalFormatting sqref="F101">
    <cfRule type="cellIs" dxfId="67" priority="1" operator="notEqual">
      <formula>0</formula>
    </cfRule>
    <cfRule type="cellIs" dxfId="66" priority="2" operator="equal">
      <formula>0</formula>
    </cfRule>
  </conditionalFormatting>
  <pageMargins left="0.7" right="0.7" top="0.75" bottom="0.75" header="0.3" footer="0.3"/>
  <pageSetup orientation="portrait" r:id="rId1"/>
  <headerFooter>
    <oddFooter>&amp;C_x000D_&amp;1#&amp;"Calibri"&amp;10&amp;K000000 Restricted : General Al-Futtaim Group</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9457" r:id="rId6" name="cbApplyLevelFormatting">
          <controlPr defaultSize="0" autoFill="0" autoLine="0" r:id="rId7">
            <anchor moveWithCells="1">
              <from>
                <xdr:col>7</xdr:col>
                <xdr:colOff>1485900</xdr:colOff>
                <xdr:row>4</xdr:row>
                <xdr:rowOff>69850</xdr:rowOff>
              </from>
              <to>
                <xdr:col>7</xdr:col>
                <xdr:colOff>1612900</xdr:colOff>
                <xdr:row>4</xdr:row>
                <xdr:rowOff>342900</xdr:rowOff>
              </to>
            </anchor>
          </controlPr>
        </control>
      </mc:Choice>
      <mc:Fallback>
        <control shapeId="19457" r:id="rId6" name="cbApplyLevelFormatting"/>
      </mc:Fallback>
    </mc:AlternateContent>
    <mc:AlternateContent xmlns:mc="http://schemas.openxmlformats.org/markup-compatibility/2006">
      <mc:Choice Requires="x14">
        <control shapeId="19483" r:id="rId8" name="cbApplyMemberFormatting">
          <controlPr defaultSize="0" autoFill="0" autoLine="0" r:id="rId7">
            <anchor moveWithCells="1">
              <from>
                <xdr:col>9</xdr:col>
                <xdr:colOff>381000</xdr:colOff>
                <xdr:row>51</xdr:row>
                <xdr:rowOff>69850</xdr:rowOff>
              </from>
              <to>
                <xdr:col>9</xdr:col>
                <xdr:colOff>508000</xdr:colOff>
                <xdr:row>51</xdr:row>
                <xdr:rowOff>342900</xdr:rowOff>
              </to>
            </anchor>
          </controlPr>
        </control>
      </mc:Choice>
      <mc:Fallback>
        <control shapeId="19483" r:id="rId8" name="cbApplyMemberFormatting"/>
      </mc:Fallback>
    </mc:AlternateContent>
    <mc:AlternateContent xmlns:mc="http://schemas.openxmlformats.org/markup-compatibility/2006">
      <mc:Choice Requires="x14">
        <control shapeId="19501" r:id="rId9" name="cbApplyOddEvenFormatting">
          <controlPr defaultSize="0" autoFill="0" autoLine="0" r:id="rId10">
            <anchor moveWithCells="1">
              <from>
                <xdr:col>7</xdr:col>
                <xdr:colOff>1676400</xdr:colOff>
                <xdr:row>106</xdr:row>
                <xdr:rowOff>69850</xdr:rowOff>
              </from>
              <to>
                <xdr:col>7</xdr:col>
                <xdr:colOff>1803400</xdr:colOff>
                <xdr:row>106</xdr:row>
                <xdr:rowOff>342900</xdr:rowOff>
              </to>
            </anchor>
          </controlPr>
        </control>
      </mc:Choice>
      <mc:Fallback>
        <control shapeId="19501" r:id="rId9" name="cbApplyOddEvenFormatting"/>
      </mc:Fallback>
    </mc:AlternateContent>
    <mc:AlternateContent xmlns:mc="http://schemas.openxmlformats.org/markup-compatibility/2006">
      <mc:Choice Requires="x14">
        <control shapeId="19509" r:id="rId11" name="cbApplyPageHeaderFormatting">
          <controlPr defaultSize="0" autoFill="0" autoLine="0" r:id="rId10">
            <anchor moveWithCells="1">
              <from>
                <xdr:col>7</xdr:col>
                <xdr:colOff>1524000</xdr:colOff>
                <xdr:row>126</xdr:row>
                <xdr:rowOff>69850</xdr:rowOff>
              </from>
              <to>
                <xdr:col>7</xdr:col>
                <xdr:colOff>1651000</xdr:colOff>
                <xdr:row>126</xdr:row>
                <xdr:rowOff>342900</xdr:rowOff>
              </to>
            </anchor>
          </controlPr>
        </control>
      </mc:Choice>
      <mc:Fallback>
        <control shapeId="19509" r:id="rId11" name="cbApplyPageHeaderFormatting"/>
      </mc:Fallback>
    </mc:AlternateContent>
    <mc:AlternateContent xmlns:mc="http://schemas.openxmlformats.org/markup-compatibility/2006">
      <mc:Choice Requires="x14">
        <control shapeId="19458" r:id="rId12" name="Group Box 2">
          <controlPr defaultSize="0" autoPict="0">
            <anchor moveWithCells="1">
              <from>
                <xdr:col>1</xdr:col>
                <xdr:colOff>0</xdr:colOff>
                <xdr:row>5</xdr:row>
                <xdr:rowOff>0</xdr:rowOff>
              </from>
              <to>
                <xdr:col>3</xdr:col>
                <xdr:colOff>2724150</xdr:colOff>
                <xdr:row>6</xdr:row>
                <xdr:rowOff>0</xdr:rowOff>
              </to>
            </anchor>
          </controlPr>
        </control>
      </mc:Choice>
    </mc:AlternateContent>
    <mc:AlternateContent xmlns:mc="http://schemas.openxmlformats.org/markup-compatibility/2006">
      <mc:Choice Requires="x14">
        <control shapeId="19459" r:id="rId13" name="obLevelRowFirst">
          <controlPr defaultSize="0" autoFill="0" autoLine="0" autoPict="0" macro="_xll.FPMXLClient.TechnicalCategory.ButtonActionInEPMClientFormattingSheet">
            <anchor moveWithCells="1">
              <from>
                <xdr:col>3</xdr:col>
                <xdr:colOff>412750</xdr:colOff>
                <xdr:row>5</xdr:row>
                <xdr:rowOff>69850</xdr:rowOff>
              </from>
              <to>
                <xdr:col>3</xdr:col>
                <xdr:colOff>2533650</xdr:colOff>
                <xdr:row>5</xdr:row>
                <xdr:rowOff>298450</xdr:rowOff>
              </to>
            </anchor>
          </controlPr>
        </control>
      </mc:Choice>
    </mc:AlternateContent>
    <mc:AlternateContent xmlns:mc="http://schemas.openxmlformats.org/markup-compatibility/2006">
      <mc:Choice Requires="x14">
        <control shapeId="19460" r:id="rId14" name="obLevelColumnFirst">
          <controlPr defaultSize="0" autoFill="0" autoLine="0" autoPict="0" macro="_xll.FPMXLClient.TechnicalCategory.ButtonActionInEPMClientFormattingSheet">
            <anchor moveWithCells="1">
              <from>
                <xdr:col>1</xdr:col>
                <xdr:colOff>222250</xdr:colOff>
                <xdr:row>5</xdr:row>
                <xdr:rowOff>69850</xdr:rowOff>
              </from>
              <to>
                <xdr:col>3</xdr:col>
                <xdr:colOff>374650</xdr:colOff>
                <xdr:row>5</xdr:row>
                <xdr:rowOff>298450</xdr:rowOff>
              </to>
            </anchor>
          </controlPr>
        </control>
      </mc:Choice>
    </mc:AlternateContent>
    <mc:AlternateContent xmlns:mc="http://schemas.openxmlformats.org/markup-compatibility/2006">
      <mc:Choice Requires="x14">
        <control shapeId="19461" r:id="rId15" name="Group Box 5">
          <controlPr defaultSize="0" autoPict="0">
            <anchor moveWithCells="1">
              <from>
                <xdr:col>3</xdr:col>
                <xdr:colOff>2679700</xdr:colOff>
                <xdr:row>5</xdr:row>
                <xdr:rowOff>0</xdr:rowOff>
              </from>
              <to>
                <xdr:col>9</xdr:col>
                <xdr:colOff>717550</xdr:colOff>
                <xdr:row>6</xdr:row>
                <xdr:rowOff>0</xdr:rowOff>
              </to>
            </anchor>
          </controlPr>
        </control>
      </mc:Choice>
    </mc:AlternateContent>
    <mc:AlternateContent xmlns:mc="http://schemas.openxmlformats.org/markup-compatibility/2006">
      <mc:Choice Requires="x14">
        <control shapeId="19462" r:id="rId16" name="obRelativeLevelHierarchy">
          <controlPr defaultSize="0" autoFill="0" autoLine="0" autoPict="0" macro="_xll.FPMXLClient.TechnicalCategory.ButtonActionInEPMClientFormattingSheet">
            <anchor moveWithCells="1">
              <from>
                <xdr:col>3</xdr:col>
                <xdr:colOff>4146550</xdr:colOff>
                <xdr:row>5</xdr:row>
                <xdr:rowOff>69850</xdr:rowOff>
              </from>
              <to>
                <xdr:col>5</xdr:col>
                <xdr:colOff>850900</xdr:colOff>
                <xdr:row>5</xdr:row>
                <xdr:rowOff>298450</xdr:rowOff>
              </to>
            </anchor>
          </controlPr>
        </control>
      </mc:Choice>
    </mc:AlternateContent>
    <mc:AlternateContent xmlns:mc="http://schemas.openxmlformats.org/markup-compatibility/2006">
      <mc:Choice Requires="x14">
        <control shapeId="19463" r:id="rId17" name="obDatabaseLevelHierarchy">
          <controlPr defaultSize="0" autoFill="0" autoLine="0" autoPict="0" macro="_xll.FPMXLClient.TechnicalCategory.ButtonActionInEPMClientFormattingSheet">
            <anchor moveWithCells="1">
              <from>
                <xdr:col>3</xdr:col>
                <xdr:colOff>2698750</xdr:colOff>
                <xdr:row>5</xdr:row>
                <xdr:rowOff>69850</xdr:rowOff>
              </from>
              <to>
                <xdr:col>3</xdr:col>
                <xdr:colOff>4127500</xdr:colOff>
                <xdr:row>5</xdr:row>
                <xdr:rowOff>298450</xdr:rowOff>
              </to>
            </anchor>
          </controlPr>
        </control>
      </mc:Choice>
    </mc:AlternateContent>
    <mc:AlternateContent xmlns:mc="http://schemas.openxmlformats.org/markup-compatibility/2006">
      <mc:Choice Requires="x14">
        <control shapeId="19464" r:id="rId18" name="cbApplyLevelFromTopToBottom">
          <controlPr defaultSize="0" autoFill="0" autoLine="0" autoPict="0">
            <anchor moveWithCells="1">
              <from>
                <xdr:col>5</xdr:col>
                <xdr:colOff>914400</xdr:colOff>
                <xdr:row>5</xdr:row>
                <xdr:rowOff>0</xdr:rowOff>
              </from>
              <to>
                <xdr:col>12</xdr:col>
                <xdr:colOff>0</xdr:colOff>
                <xdr:row>5</xdr:row>
                <xdr:rowOff>336550</xdr:rowOff>
              </to>
            </anchor>
          </controlPr>
        </control>
      </mc:Choice>
    </mc:AlternateContent>
    <mc:AlternateContent xmlns:mc="http://schemas.openxmlformats.org/markup-compatibility/2006">
      <mc:Choice Requires="x14">
        <control shapeId="19465" r:id="rId19" name="LVL1tbFormattingByLevel">
          <controlPr defaultSize="0" autoFill="0" autoPict="0">
            <anchor moveWithCells="1" sizeWithCells="1">
              <from>
                <xdr:col>10</xdr:col>
                <xdr:colOff>31750</xdr:colOff>
                <xdr:row>6</xdr:row>
                <xdr:rowOff>146050</xdr:rowOff>
              </from>
              <to>
                <xdr:col>11</xdr:col>
                <xdr:colOff>1193800</xdr:colOff>
                <xdr:row>7</xdr:row>
                <xdr:rowOff>133350</xdr:rowOff>
              </to>
            </anchor>
          </controlPr>
        </control>
      </mc:Choice>
    </mc:AlternateContent>
    <mc:AlternateContent xmlns:mc="http://schemas.openxmlformats.org/markup-compatibility/2006">
      <mc:Choice Requires="x14">
        <control shapeId="19466" r:id="rId20" name="Group Box 10">
          <controlPr defaultSize="0" autoPict="0">
            <anchor moveWithCells="1">
              <from>
                <xdr:col>10</xdr:col>
                <xdr:colOff>222250</xdr:colOff>
                <xdr:row>6</xdr:row>
                <xdr:rowOff>0</xdr:rowOff>
              </from>
              <to>
                <xdr:col>12</xdr:col>
                <xdr:colOff>0</xdr:colOff>
                <xdr:row>8</xdr:row>
                <xdr:rowOff>12700</xdr:rowOff>
              </to>
            </anchor>
          </controlPr>
        </control>
      </mc:Choice>
    </mc:AlternateContent>
    <mc:AlternateContent xmlns:mc="http://schemas.openxmlformats.org/markup-compatibility/2006">
      <mc:Choice Requires="x14">
        <control shapeId="19467" r:id="rId21" name="obLevelOuterFirst">
          <controlPr defaultSize="0" autoFill="0" autoLine="0" autoPict="0">
            <anchor moveWithCells="1">
              <from>
                <xdr:col>11</xdr:col>
                <xdr:colOff>914400</xdr:colOff>
                <xdr:row>6</xdr:row>
                <xdr:rowOff>228600</xdr:rowOff>
              </from>
              <to>
                <xdr:col>11</xdr:col>
                <xdr:colOff>2165350</xdr:colOff>
                <xdr:row>7</xdr:row>
                <xdr:rowOff>171450</xdr:rowOff>
              </to>
            </anchor>
          </controlPr>
        </control>
      </mc:Choice>
    </mc:AlternateContent>
    <mc:AlternateContent xmlns:mc="http://schemas.openxmlformats.org/markup-compatibility/2006">
      <mc:Choice Requires="x14">
        <control shapeId="19468" r:id="rId22" name="obLevelInnerFirst">
          <controlPr defaultSize="0" autoFill="0" autoLine="0" autoPict="0">
            <anchor moveWithCells="1">
              <from>
                <xdr:col>11</xdr:col>
                <xdr:colOff>914400</xdr:colOff>
                <xdr:row>6</xdr:row>
                <xdr:rowOff>31750</xdr:rowOff>
              </from>
              <to>
                <xdr:col>11</xdr:col>
                <xdr:colOff>2165350</xdr:colOff>
                <xdr:row>6</xdr:row>
                <xdr:rowOff>241300</xdr:rowOff>
              </to>
            </anchor>
          </controlPr>
        </control>
      </mc:Choice>
    </mc:AlternateContent>
    <mc:AlternateContent xmlns:mc="http://schemas.openxmlformats.org/markup-compatibility/2006">
      <mc:Choice Requires="x14">
        <control shapeId="19469" r:id="rId23" name="cbUseDefaultLevelFirst">
          <controlPr defaultSize="0" autoFill="0" autoLine="0" autoPict="0">
            <anchor moveWithCells="1">
              <from>
                <xdr:col>2</xdr:col>
                <xdr:colOff>127000</xdr:colOff>
                <xdr:row>9</xdr:row>
                <xdr:rowOff>12700</xdr:rowOff>
              </from>
              <to>
                <xdr:col>3</xdr:col>
                <xdr:colOff>0</xdr:colOff>
                <xdr:row>11</xdr:row>
                <xdr:rowOff>50800</xdr:rowOff>
              </to>
            </anchor>
          </controlPr>
        </control>
      </mc:Choice>
    </mc:AlternateContent>
    <mc:AlternateContent xmlns:mc="http://schemas.openxmlformats.org/markup-compatibility/2006">
      <mc:Choice Requires="x14">
        <control shapeId="19470" r:id="rId24" name="cbUseLeafLevelFirst">
          <controlPr defaultSize="0" autoFill="0" autoLine="0" autoPict="0">
            <anchor moveWithCells="1">
              <from>
                <xdr:col>2</xdr:col>
                <xdr:colOff>127000</xdr:colOff>
                <xdr:row>12</xdr:row>
                <xdr:rowOff>0</xdr:rowOff>
              </from>
              <to>
                <xdr:col>3</xdr:col>
                <xdr:colOff>0</xdr:colOff>
                <xdr:row>14</xdr:row>
                <xdr:rowOff>50800</xdr:rowOff>
              </to>
            </anchor>
          </controlPr>
        </control>
      </mc:Choice>
    </mc:AlternateContent>
    <mc:AlternateContent xmlns:mc="http://schemas.openxmlformats.org/markup-compatibility/2006">
      <mc:Choice Requires="x14">
        <control shapeId="19471" r:id="rId25" name="cbUseSpecificLevelFirst">
          <controlPr defaultSize="0" autoFill="0" autoLine="0" autoPict="0">
            <anchor moveWithCells="1">
              <from>
                <xdr:col>2</xdr:col>
                <xdr:colOff>127000</xdr:colOff>
                <xdr:row>15</xdr:row>
                <xdr:rowOff>31750</xdr:rowOff>
              </from>
              <to>
                <xdr:col>3</xdr:col>
                <xdr:colOff>0</xdr:colOff>
                <xdr:row>16</xdr:row>
                <xdr:rowOff>107950</xdr:rowOff>
              </to>
            </anchor>
          </controlPr>
        </control>
      </mc:Choice>
    </mc:AlternateContent>
    <mc:AlternateContent xmlns:mc="http://schemas.openxmlformats.org/markup-compatibility/2006">
      <mc:Choice Requires="x14">
        <control shapeId="19472" r:id="rId26" name="AddLevelFirst">
          <controlPr defaultSize="0" print="0" autoFill="0" autoPict="0" macro="_xll.FPMXLClient.TechnicalCategory.ButtonActionInEPMClientFormattingSheet">
            <anchor moveWithCells="1">
              <from>
                <xdr:col>3</xdr:col>
                <xdr:colOff>57150</xdr:colOff>
                <xdr:row>25</xdr:row>
                <xdr:rowOff>31750</xdr:rowOff>
              </from>
              <to>
                <xdr:col>3</xdr:col>
                <xdr:colOff>2228850</xdr:colOff>
                <xdr:row>26</xdr:row>
                <xdr:rowOff>0</xdr:rowOff>
              </to>
            </anchor>
          </controlPr>
        </control>
      </mc:Choice>
    </mc:AlternateContent>
    <mc:AlternateContent xmlns:mc="http://schemas.openxmlformats.org/markup-compatibility/2006">
      <mc:Choice Requires="x14">
        <control shapeId="19473" r:id="rId27" name="RemoveLevelFirst">
          <controlPr defaultSize="0" print="0" autoFill="0" autoPict="0" macro="_xll.FPMXLClient.TechnicalCategory.ButtonActionInEPMClientFormattingSheet">
            <anchor moveWithCells="1">
              <from>
                <xdr:col>3</xdr:col>
                <xdr:colOff>2336800</xdr:colOff>
                <xdr:row>25</xdr:row>
                <xdr:rowOff>31750</xdr:rowOff>
              </from>
              <to>
                <xdr:col>4</xdr:col>
                <xdr:colOff>0</xdr:colOff>
                <xdr:row>26</xdr:row>
                <xdr:rowOff>0</xdr:rowOff>
              </to>
            </anchor>
          </controlPr>
        </control>
      </mc:Choice>
    </mc:AlternateContent>
    <mc:AlternateContent xmlns:mc="http://schemas.openxmlformats.org/markup-compatibility/2006">
      <mc:Choice Requires="x14">
        <control shapeId="19474" r:id="rId28" name="LVL2tbFormattingByLevel">
          <controlPr defaultSize="0" autoFill="0" autoPict="0">
            <anchor moveWithCells="1" sizeWithCells="1">
              <from>
                <xdr:col>10</xdr:col>
                <xdr:colOff>31750</xdr:colOff>
                <xdr:row>27</xdr:row>
                <xdr:rowOff>146050</xdr:rowOff>
              </from>
              <to>
                <xdr:col>11</xdr:col>
                <xdr:colOff>1193800</xdr:colOff>
                <xdr:row>28</xdr:row>
                <xdr:rowOff>133350</xdr:rowOff>
              </to>
            </anchor>
          </controlPr>
        </control>
      </mc:Choice>
    </mc:AlternateContent>
    <mc:AlternateContent xmlns:mc="http://schemas.openxmlformats.org/markup-compatibility/2006">
      <mc:Choice Requires="x14">
        <control shapeId="19475" r:id="rId29" name="Group Box 19">
          <controlPr defaultSize="0" autoPict="0">
            <anchor moveWithCells="1">
              <from>
                <xdr:col>10</xdr:col>
                <xdr:colOff>222250</xdr:colOff>
                <xdr:row>27</xdr:row>
                <xdr:rowOff>0</xdr:rowOff>
              </from>
              <to>
                <xdr:col>12</xdr:col>
                <xdr:colOff>0</xdr:colOff>
                <xdr:row>29</xdr:row>
                <xdr:rowOff>12700</xdr:rowOff>
              </to>
            </anchor>
          </controlPr>
        </control>
      </mc:Choice>
    </mc:AlternateContent>
    <mc:AlternateContent xmlns:mc="http://schemas.openxmlformats.org/markup-compatibility/2006">
      <mc:Choice Requires="x14">
        <control shapeId="19476" r:id="rId30" name="obLevelOuterSecond">
          <controlPr defaultSize="0" autoFill="0" autoLine="0" autoPict="0">
            <anchor moveWithCells="1">
              <from>
                <xdr:col>11</xdr:col>
                <xdr:colOff>914400</xdr:colOff>
                <xdr:row>27</xdr:row>
                <xdr:rowOff>228600</xdr:rowOff>
              </from>
              <to>
                <xdr:col>11</xdr:col>
                <xdr:colOff>2165350</xdr:colOff>
                <xdr:row>28</xdr:row>
                <xdr:rowOff>171450</xdr:rowOff>
              </to>
            </anchor>
          </controlPr>
        </control>
      </mc:Choice>
    </mc:AlternateContent>
    <mc:AlternateContent xmlns:mc="http://schemas.openxmlformats.org/markup-compatibility/2006">
      <mc:Choice Requires="x14">
        <control shapeId="19477" r:id="rId31" name="obLevelInnerSecond">
          <controlPr defaultSize="0" autoFill="0" autoLine="0" autoPict="0">
            <anchor moveWithCells="1">
              <from>
                <xdr:col>11</xdr:col>
                <xdr:colOff>914400</xdr:colOff>
                <xdr:row>27</xdr:row>
                <xdr:rowOff>31750</xdr:rowOff>
              </from>
              <to>
                <xdr:col>11</xdr:col>
                <xdr:colOff>2165350</xdr:colOff>
                <xdr:row>27</xdr:row>
                <xdr:rowOff>241300</xdr:rowOff>
              </to>
            </anchor>
          </controlPr>
        </control>
      </mc:Choice>
    </mc:AlternateContent>
    <mc:AlternateContent xmlns:mc="http://schemas.openxmlformats.org/markup-compatibility/2006">
      <mc:Choice Requires="x14">
        <control shapeId="19478" r:id="rId32" name="cbUseDefaultLevelSecond">
          <controlPr defaultSize="0" autoFill="0" autoLine="0" autoPict="0">
            <anchor moveWithCells="1">
              <from>
                <xdr:col>2</xdr:col>
                <xdr:colOff>127000</xdr:colOff>
                <xdr:row>30</xdr:row>
                <xdr:rowOff>12700</xdr:rowOff>
              </from>
              <to>
                <xdr:col>3</xdr:col>
                <xdr:colOff>0</xdr:colOff>
                <xdr:row>32</xdr:row>
                <xdr:rowOff>50800</xdr:rowOff>
              </to>
            </anchor>
          </controlPr>
        </control>
      </mc:Choice>
    </mc:AlternateContent>
    <mc:AlternateContent xmlns:mc="http://schemas.openxmlformats.org/markup-compatibility/2006">
      <mc:Choice Requires="x14">
        <control shapeId="19479" r:id="rId33" name="cbUseLeafLevelSecond">
          <controlPr defaultSize="0" autoFill="0" autoLine="0" autoPict="0">
            <anchor moveWithCells="1">
              <from>
                <xdr:col>2</xdr:col>
                <xdr:colOff>127000</xdr:colOff>
                <xdr:row>33</xdr:row>
                <xdr:rowOff>0</xdr:rowOff>
              </from>
              <to>
                <xdr:col>3</xdr:col>
                <xdr:colOff>0</xdr:colOff>
                <xdr:row>35</xdr:row>
                <xdr:rowOff>50800</xdr:rowOff>
              </to>
            </anchor>
          </controlPr>
        </control>
      </mc:Choice>
    </mc:AlternateContent>
    <mc:AlternateContent xmlns:mc="http://schemas.openxmlformats.org/markup-compatibility/2006">
      <mc:Choice Requires="x14">
        <control shapeId="19480" r:id="rId34" name="cbUseSpecificLevelSecond">
          <controlPr defaultSize="0" autoFill="0" autoLine="0" autoPict="0">
            <anchor moveWithCells="1">
              <from>
                <xdr:col>2</xdr:col>
                <xdr:colOff>127000</xdr:colOff>
                <xdr:row>36</xdr:row>
                <xdr:rowOff>31750</xdr:rowOff>
              </from>
              <to>
                <xdr:col>3</xdr:col>
                <xdr:colOff>0</xdr:colOff>
                <xdr:row>37</xdr:row>
                <xdr:rowOff>107950</xdr:rowOff>
              </to>
            </anchor>
          </controlPr>
        </control>
      </mc:Choice>
    </mc:AlternateContent>
    <mc:AlternateContent xmlns:mc="http://schemas.openxmlformats.org/markup-compatibility/2006">
      <mc:Choice Requires="x14">
        <control shapeId="19481" r:id="rId35" name="AddLevelSecond">
          <controlPr defaultSize="0" print="0" autoFill="0" autoPict="0" macro="_xll.FPMXLClient.TechnicalCategory.ButtonActionInEPMClientFormattingSheet">
            <anchor moveWithCells="1">
              <from>
                <xdr:col>3</xdr:col>
                <xdr:colOff>57150</xdr:colOff>
                <xdr:row>46</xdr:row>
                <xdr:rowOff>31750</xdr:rowOff>
              </from>
              <to>
                <xdr:col>3</xdr:col>
                <xdr:colOff>2228850</xdr:colOff>
                <xdr:row>47</xdr:row>
                <xdr:rowOff>0</xdr:rowOff>
              </to>
            </anchor>
          </controlPr>
        </control>
      </mc:Choice>
    </mc:AlternateContent>
    <mc:AlternateContent xmlns:mc="http://schemas.openxmlformats.org/markup-compatibility/2006">
      <mc:Choice Requires="x14">
        <control shapeId="19482" r:id="rId36" name="RemoveLevelSecond">
          <controlPr defaultSize="0" print="0" autoFill="0" autoPict="0" macro="_xll.FPMXLClient.TechnicalCategory.ButtonActionInEPMClientFormattingSheet">
            <anchor moveWithCells="1">
              <from>
                <xdr:col>3</xdr:col>
                <xdr:colOff>2336800</xdr:colOff>
                <xdr:row>46</xdr:row>
                <xdr:rowOff>31750</xdr:rowOff>
              </from>
              <to>
                <xdr:col>4</xdr:col>
                <xdr:colOff>0</xdr:colOff>
                <xdr:row>47</xdr:row>
                <xdr:rowOff>0</xdr:rowOff>
              </to>
            </anchor>
          </controlPr>
        </control>
      </mc:Choice>
    </mc:AlternateContent>
    <mc:AlternateContent xmlns:mc="http://schemas.openxmlformats.org/markup-compatibility/2006">
      <mc:Choice Requires="x14">
        <control shapeId="19484" r:id="rId37" name="Group Box 28">
          <controlPr defaultSize="0" autoPict="0">
            <anchor moveWithCells="1">
              <from>
                <xdr:col>1</xdr:col>
                <xdr:colOff>0</xdr:colOff>
                <xdr:row>52</xdr:row>
                <xdr:rowOff>12700</xdr:rowOff>
              </from>
              <to>
                <xdr:col>12</xdr:col>
                <xdr:colOff>0</xdr:colOff>
                <xdr:row>53</xdr:row>
                <xdr:rowOff>12700</xdr:rowOff>
              </to>
            </anchor>
          </controlPr>
        </control>
      </mc:Choice>
    </mc:AlternateContent>
    <mc:AlternateContent xmlns:mc="http://schemas.openxmlformats.org/markup-compatibility/2006">
      <mc:Choice Requires="x14">
        <control shapeId="19485" r:id="rId38" name="obMemberRowFirst">
          <controlPr defaultSize="0" autoFill="0" autoLine="0" autoPict="0" macro="_xll.FPMXLClient.TechnicalCategory.ButtonActionInEPMClientFormattingSheet">
            <anchor moveWithCells="1">
              <from>
                <xdr:col>3</xdr:col>
                <xdr:colOff>412750</xdr:colOff>
                <xdr:row>52</xdr:row>
                <xdr:rowOff>69850</xdr:rowOff>
              </from>
              <to>
                <xdr:col>3</xdr:col>
                <xdr:colOff>2533650</xdr:colOff>
                <xdr:row>52</xdr:row>
                <xdr:rowOff>298450</xdr:rowOff>
              </to>
            </anchor>
          </controlPr>
        </control>
      </mc:Choice>
    </mc:AlternateContent>
    <mc:AlternateContent xmlns:mc="http://schemas.openxmlformats.org/markup-compatibility/2006">
      <mc:Choice Requires="x14">
        <control shapeId="19486" r:id="rId39" name="obMemberColumnFirst">
          <controlPr defaultSize="0" autoFill="0" autoLine="0" autoPict="0" macro="_xll.FPMXLClient.TechnicalCategory.ButtonActionInEPMClientFormattingSheet">
            <anchor moveWithCells="1">
              <from>
                <xdr:col>1</xdr:col>
                <xdr:colOff>222250</xdr:colOff>
                <xdr:row>52</xdr:row>
                <xdr:rowOff>69850</xdr:rowOff>
              </from>
              <to>
                <xdr:col>3</xdr:col>
                <xdr:colOff>374650</xdr:colOff>
                <xdr:row>52</xdr:row>
                <xdr:rowOff>298450</xdr:rowOff>
              </to>
            </anchor>
          </controlPr>
        </control>
      </mc:Choice>
    </mc:AlternateContent>
    <mc:AlternateContent xmlns:mc="http://schemas.openxmlformats.org/markup-compatibility/2006">
      <mc:Choice Requires="x14">
        <control shapeId="19487" r:id="rId40" name="cbApplyCustomMemberDefaultFirst">
          <controlPr defaultSize="0" autoFill="0" autoLine="0" autoPict="0">
            <anchor moveWithCells="1">
              <from>
                <xdr:col>2</xdr:col>
                <xdr:colOff>127000</xdr:colOff>
                <xdr:row>54</xdr:row>
                <xdr:rowOff>209550</xdr:rowOff>
              </from>
              <to>
                <xdr:col>3</xdr:col>
                <xdr:colOff>0</xdr:colOff>
                <xdr:row>57</xdr:row>
                <xdr:rowOff>38100</xdr:rowOff>
              </to>
            </anchor>
          </controlPr>
        </control>
      </mc:Choice>
    </mc:AlternateContent>
    <mc:AlternateContent xmlns:mc="http://schemas.openxmlformats.org/markup-compatibility/2006">
      <mc:Choice Requires="x14">
        <control shapeId="19488" r:id="rId41" name="cbApplyCalculatedMemberFirst">
          <controlPr defaultSize="0" autoFill="0" autoLine="0" autoPict="0">
            <anchor moveWithCells="1">
              <from>
                <xdr:col>2</xdr:col>
                <xdr:colOff>127000</xdr:colOff>
                <xdr:row>58</xdr:row>
                <xdr:rowOff>0</xdr:rowOff>
              </from>
              <to>
                <xdr:col>3</xdr:col>
                <xdr:colOff>0</xdr:colOff>
                <xdr:row>60</xdr:row>
                <xdr:rowOff>50800</xdr:rowOff>
              </to>
            </anchor>
          </controlPr>
        </control>
      </mc:Choice>
    </mc:AlternateContent>
    <mc:AlternateContent xmlns:mc="http://schemas.openxmlformats.org/markup-compatibility/2006">
      <mc:Choice Requires="x14">
        <control shapeId="19489" r:id="rId42" name="cbApplyImputableMemberFirst">
          <controlPr defaultSize="0" autoFill="0" autoLine="0" autoPict="0">
            <anchor moveWithCells="1">
              <from>
                <xdr:col>2</xdr:col>
                <xdr:colOff>127000</xdr:colOff>
                <xdr:row>61</xdr:row>
                <xdr:rowOff>12700</xdr:rowOff>
              </from>
              <to>
                <xdr:col>3</xdr:col>
                <xdr:colOff>0</xdr:colOff>
                <xdr:row>63</xdr:row>
                <xdr:rowOff>50800</xdr:rowOff>
              </to>
            </anchor>
          </controlPr>
        </control>
      </mc:Choice>
    </mc:AlternateContent>
    <mc:AlternateContent xmlns:mc="http://schemas.openxmlformats.org/markup-compatibility/2006">
      <mc:Choice Requires="x14">
        <control shapeId="19490" r:id="rId43" name="cbApplyLocalMemberFirst">
          <controlPr defaultSize="0" autoFill="0" autoLine="0" autoPict="0">
            <anchor moveWithCells="1">
              <from>
                <xdr:col>2</xdr:col>
                <xdr:colOff>127000</xdr:colOff>
                <xdr:row>64</xdr:row>
                <xdr:rowOff>0</xdr:rowOff>
              </from>
              <to>
                <xdr:col>3</xdr:col>
                <xdr:colOff>0</xdr:colOff>
                <xdr:row>66</xdr:row>
                <xdr:rowOff>50800</xdr:rowOff>
              </to>
            </anchor>
          </controlPr>
        </control>
      </mc:Choice>
    </mc:AlternateContent>
    <mc:AlternateContent xmlns:mc="http://schemas.openxmlformats.org/markup-compatibility/2006">
      <mc:Choice Requires="x14">
        <control shapeId="19491" r:id="rId44" name="cbApplyChangedMemberFirst">
          <controlPr defaultSize="0" autoFill="0" autoLine="0" autoPict="0">
            <anchor moveWithCells="1">
              <from>
                <xdr:col>2</xdr:col>
                <xdr:colOff>127000</xdr:colOff>
                <xdr:row>66</xdr:row>
                <xdr:rowOff>57150</xdr:rowOff>
              </from>
              <to>
                <xdr:col>3</xdr:col>
                <xdr:colOff>0</xdr:colOff>
                <xdr:row>69</xdr:row>
                <xdr:rowOff>38100</xdr:rowOff>
              </to>
            </anchor>
          </controlPr>
        </control>
      </mc:Choice>
    </mc:AlternateContent>
    <mc:AlternateContent xmlns:mc="http://schemas.openxmlformats.org/markup-compatibility/2006">
      <mc:Choice Requires="x14">
        <control shapeId="19492" r:id="rId45" name="cbApplySpecificMemberFirst">
          <controlPr defaultSize="0" autoFill="0" autoLine="0" autoPict="0">
            <anchor moveWithCells="1">
              <from>
                <xdr:col>2</xdr:col>
                <xdr:colOff>127000</xdr:colOff>
                <xdr:row>70</xdr:row>
                <xdr:rowOff>50800</xdr:rowOff>
              </from>
              <to>
                <xdr:col>3</xdr:col>
                <xdr:colOff>0</xdr:colOff>
                <xdr:row>72</xdr:row>
                <xdr:rowOff>12700</xdr:rowOff>
              </to>
            </anchor>
          </controlPr>
        </control>
      </mc:Choice>
    </mc:AlternateContent>
    <mc:AlternateContent xmlns:mc="http://schemas.openxmlformats.org/markup-compatibility/2006">
      <mc:Choice Requires="x14">
        <control shapeId="19493" r:id="rId46" name="AddMemberFirst">
          <controlPr defaultSize="0" print="0" autoFill="0" autoPict="0" macro="_xll.FPMXLClient.TechnicalCategory.ButtonActionInEPMClientFormattingSheet">
            <anchor moveWithCells="1">
              <from>
                <xdr:col>3</xdr:col>
                <xdr:colOff>57150</xdr:colOff>
                <xdr:row>72</xdr:row>
                <xdr:rowOff>19050</xdr:rowOff>
              </from>
              <to>
                <xdr:col>4</xdr:col>
                <xdr:colOff>0</xdr:colOff>
                <xdr:row>73</xdr:row>
                <xdr:rowOff>0</xdr:rowOff>
              </to>
            </anchor>
          </controlPr>
        </control>
      </mc:Choice>
    </mc:AlternateContent>
    <mc:AlternateContent xmlns:mc="http://schemas.openxmlformats.org/markup-compatibility/2006">
      <mc:Choice Requires="x14">
        <control shapeId="19494" r:id="rId47" name="cbApplyCustomMemberDefaultSecond">
          <controlPr defaultSize="0" autoFill="0" autoLine="0" autoPict="0">
            <anchor moveWithCells="1">
              <from>
                <xdr:col>2</xdr:col>
                <xdr:colOff>127000</xdr:colOff>
                <xdr:row>76</xdr:row>
                <xdr:rowOff>0</xdr:rowOff>
              </from>
              <to>
                <xdr:col>3</xdr:col>
                <xdr:colOff>0</xdr:colOff>
                <xdr:row>78</xdr:row>
                <xdr:rowOff>50800</xdr:rowOff>
              </to>
            </anchor>
          </controlPr>
        </control>
      </mc:Choice>
    </mc:AlternateContent>
    <mc:AlternateContent xmlns:mc="http://schemas.openxmlformats.org/markup-compatibility/2006">
      <mc:Choice Requires="x14">
        <control shapeId="19495" r:id="rId48" name="cbApplyCalculatedMemberSecond">
          <controlPr defaultSize="0" autoFill="0" autoLine="0" autoPict="0">
            <anchor moveWithCells="1">
              <from>
                <xdr:col>2</xdr:col>
                <xdr:colOff>127000</xdr:colOff>
                <xdr:row>78</xdr:row>
                <xdr:rowOff>57150</xdr:rowOff>
              </from>
              <to>
                <xdr:col>3</xdr:col>
                <xdr:colOff>0</xdr:colOff>
                <xdr:row>81</xdr:row>
                <xdr:rowOff>38100</xdr:rowOff>
              </to>
            </anchor>
          </controlPr>
        </control>
      </mc:Choice>
    </mc:AlternateContent>
    <mc:AlternateContent xmlns:mc="http://schemas.openxmlformats.org/markup-compatibility/2006">
      <mc:Choice Requires="x14">
        <control shapeId="19496" r:id="rId49" name="cbApplyImputableMemberSecond">
          <controlPr defaultSize="0" autoFill="0" autoLine="0" autoPict="0">
            <anchor moveWithCells="1">
              <from>
                <xdr:col>2</xdr:col>
                <xdr:colOff>127000</xdr:colOff>
                <xdr:row>82</xdr:row>
                <xdr:rowOff>0</xdr:rowOff>
              </from>
              <to>
                <xdr:col>3</xdr:col>
                <xdr:colOff>0</xdr:colOff>
                <xdr:row>84</xdr:row>
                <xdr:rowOff>50800</xdr:rowOff>
              </to>
            </anchor>
          </controlPr>
        </control>
      </mc:Choice>
    </mc:AlternateContent>
    <mc:AlternateContent xmlns:mc="http://schemas.openxmlformats.org/markup-compatibility/2006">
      <mc:Choice Requires="x14">
        <control shapeId="19497" r:id="rId50" name="cbApplyLocalMemberSecond">
          <controlPr defaultSize="0" autoFill="0" autoLine="0" autoPict="0">
            <anchor moveWithCells="1">
              <from>
                <xdr:col>2</xdr:col>
                <xdr:colOff>127000</xdr:colOff>
                <xdr:row>85</xdr:row>
                <xdr:rowOff>12700</xdr:rowOff>
              </from>
              <to>
                <xdr:col>3</xdr:col>
                <xdr:colOff>0</xdr:colOff>
                <xdr:row>87</xdr:row>
                <xdr:rowOff>50800</xdr:rowOff>
              </to>
            </anchor>
          </controlPr>
        </control>
      </mc:Choice>
    </mc:AlternateContent>
    <mc:AlternateContent xmlns:mc="http://schemas.openxmlformats.org/markup-compatibility/2006">
      <mc:Choice Requires="x14">
        <control shapeId="19498" r:id="rId51" name="cbApplyChangedMemberSecond">
          <controlPr defaultSize="0" autoFill="0" autoLine="0" autoPict="0">
            <anchor moveWithCells="1">
              <from>
                <xdr:col>2</xdr:col>
                <xdr:colOff>127000</xdr:colOff>
                <xdr:row>88</xdr:row>
                <xdr:rowOff>0</xdr:rowOff>
              </from>
              <to>
                <xdr:col>3</xdr:col>
                <xdr:colOff>0</xdr:colOff>
                <xdr:row>90</xdr:row>
                <xdr:rowOff>50800</xdr:rowOff>
              </to>
            </anchor>
          </controlPr>
        </control>
      </mc:Choice>
    </mc:AlternateContent>
    <mc:AlternateContent xmlns:mc="http://schemas.openxmlformats.org/markup-compatibility/2006">
      <mc:Choice Requires="x14">
        <control shapeId="19499" r:id="rId52" name="cbApplySpecificMemberSecond">
          <controlPr defaultSize="0" autoFill="0" autoLine="0" autoPict="0">
            <anchor moveWithCells="1">
              <from>
                <xdr:col>2</xdr:col>
                <xdr:colOff>127000</xdr:colOff>
                <xdr:row>91</xdr:row>
                <xdr:rowOff>50800</xdr:rowOff>
              </from>
              <to>
                <xdr:col>3</xdr:col>
                <xdr:colOff>0</xdr:colOff>
                <xdr:row>93</xdr:row>
                <xdr:rowOff>0</xdr:rowOff>
              </to>
            </anchor>
          </controlPr>
        </control>
      </mc:Choice>
    </mc:AlternateContent>
    <mc:AlternateContent xmlns:mc="http://schemas.openxmlformats.org/markup-compatibility/2006">
      <mc:Choice Requires="x14">
        <control shapeId="19500" r:id="rId53" name="AddMemberSecond">
          <controlPr defaultSize="0" print="0" autoFill="0" autoPict="0" macro="_xll.FPMXLClient.TechnicalCategory.ButtonActionInEPMClientFormattingSheet">
            <anchor moveWithCells="1">
              <from>
                <xdr:col>3</xdr:col>
                <xdr:colOff>57150</xdr:colOff>
                <xdr:row>102</xdr:row>
                <xdr:rowOff>31750</xdr:rowOff>
              </from>
              <to>
                <xdr:col>4</xdr:col>
                <xdr:colOff>0</xdr:colOff>
                <xdr:row>103</xdr:row>
                <xdr:rowOff>0</xdr:rowOff>
              </to>
            </anchor>
          </controlPr>
        </control>
      </mc:Choice>
    </mc:AlternateContent>
    <mc:AlternateContent xmlns:mc="http://schemas.openxmlformats.org/markup-compatibility/2006">
      <mc:Choice Requires="x14">
        <control shapeId="19502" r:id="rId54" name="Group Box 46">
          <controlPr defaultSize="0" autoPict="0">
            <anchor moveWithCells="1">
              <from>
                <xdr:col>1</xdr:col>
                <xdr:colOff>0</xdr:colOff>
                <xdr:row>106</xdr:row>
                <xdr:rowOff>355600</xdr:rowOff>
              </from>
              <to>
                <xdr:col>12</xdr:col>
                <xdr:colOff>0</xdr:colOff>
                <xdr:row>108</xdr:row>
                <xdr:rowOff>0</xdr:rowOff>
              </to>
            </anchor>
          </controlPr>
        </control>
      </mc:Choice>
    </mc:AlternateContent>
    <mc:AlternateContent xmlns:mc="http://schemas.openxmlformats.org/markup-compatibility/2006">
      <mc:Choice Requires="x14">
        <control shapeId="19503" r:id="rId55" name="obOddEvenRowFirst">
          <controlPr defaultSize="0" autoFill="0" autoLine="0" autoPict="0" macro="_xll.FPMXLClient.TechnicalCategory.ButtonActionInEPMClientFormattingSheet">
            <anchor moveWithCells="1">
              <from>
                <xdr:col>3</xdr:col>
                <xdr:colOff>412750</xdr:colOff>
                <xdr:row>107</xdr:row>
                <xdr:rowOff>57150</xdr:rowOff>
              </from>
              <to>
                <xdr:col>3</xdr:col>
                <xdr:colOff>2533650</xdr:colOff>
                <xdr:row>107</xdr:row>
                <xdr:rowOff>279400</xdr:rowOff>
              </to>
            </anchor>
          </controlPr>
        </control>
      </mc:Choice>
    </mc:AlternateContent>
    <mc:AlternateContent xmlns:mc="http://schemas.openxmlformats.org/markup-compatibility/2006">
      <mc:Choice Requires="x14">
        <control shapeId="19504" r:id="rId56" name="obOddEvenColumnFirst">
          <controlPr defaultSize="0" autoFill="0" autoLine="0" autoPict="0" macro="_xll.FPMXLClient.TechnicalCategory.ButtonActionInEPMClientFormattingSheet">
            <anchor moveWithCells="1">
              <from>
                <xdr:col>1</xdr:col>
                <xdr:colOff>222250</xdr:colOff>
                <xdr:row>107</xdr:row>
                <xdr:rowOff>57150</xdr:rowOff>
              </from>
              <to>
                <xdr:col>3</xdr:col>
                <xdr:colOff>374650</xdr:colOff>
                <xdr:row>107</xdr:row>
                <xdr:rowOff>279400</xdr:rowOff>
              </to>
            </anchor>
          </controlPr>
        </control>
      </mc:Choice>
    </mc:AlternateContent>
    <mc:AlternateContent xmlns:mc="http://schemas.openxmlformats.org/markup-compatibility/2006">
      <mc:Choice Requires="x14">
        <control shapeId="19505" r:id="rId57" name="cbUseOddFirst">
          <controlPr defaultSize="0" autoFill="0" autoLine="0" autoPict="0">
            <anchor moveWithCells="1">
              <from>
                <xdr:col>2</xdr:col>
                <xdr:colOff>127000</xdr:colOff>
                <xdr:row>110</xdr:row>
                <xdr:rowOff>0</xdr:rowOff>
              </from>
              <to>
                <xdr:col>3</xdr:col>
                <xdr:colOff>0</xdr:colOff>
                <xdr:row>112</xdr:row>
                <xdr:rowOff>50800</xdr:rowOff>
              </to>
            </anchor>
          </controlPr>
        </control>
      </mc:Choice>
    </mc:AlternateContent>
    <mc:AlternateContent xmlns:mc="http://schemas.openxmlformats.org/markup-compatibility/2006">
      <mc:Choice Requires="x14">
        <control shapeId="19506" r:id="rId58" name="cbUseEvenFirst">
          <controlPr defaultSize="0" autoFill="0" autoLine="0" autoPict="0">
            <anchor moveWithCells="1">
              <from>
                <xdr:col>2</xdr:col>
                <xdr:colOff>127000</xdr:colOff>
                <xdr:row>113</xdr:row>
                <xdr:rowOff>12700</xdr:rowOff>
              </from>
              <to>
                <xdr:col>3</xdr:col>
                <xdr:colOff>0</xdr:colOff>
                <xdr:row>115</xdr:row>
                <xdr:rowOff>50800</xdr:rowOff>
              </to>
            </anchor>
          </controlPr>
        </control>
      </mc:Choice>
    </mc:AlternateContent>
    <mc:AlternateContent xmlns:mc="http://schemas.openxmlformats.org/markup-compatibility/2006">
      <mc:Choice Requires="x14">
        <control shapeId="19507" r:id="rId59" name="cbUseOddSecond">
          <controlPr defaultSize="0" autoFill="0" autoLine="0" autoPict="0">
            <anchor moveWithCells="1">
              <from>
                <xdr:col>2</xdr:col>
                <xdr:colOff>127000</xdr:colOff>
                <xdr:row>117</xdr:row>
                <xdr:rowOff>222250</xdr:rowOff>
              </from>
              <to>
                <xdr:col>3</xdr:col>
                <xdr:colOff>0</xdr:colOff>
                <xdr:row>120</xdr:row>
                <xdr:rowOff>38100</xdr:rowOff>
              </to>
            </anchor>
          </controlPr>
        </control>
      </mc:Choice>
    </mc:AlternateContent>
    <mc:AlternateContent xmlns:mc="http://schemas.openxmlformats.org/markup-compatibility/2006">
      <mc:Choice Requires="x14">
        <control shapeId="19508" r:id="rId60" name="cbUseEvenSecond">
          <controlPr defaultSize="0" autoFill="0" autoLine="0" autoPict="0">
            <anchor moveWithCells="1">
              <from>
                <xdr:col>2</xdr:col>
                <xdr:colOff>127000</xdr:colOff>
                <xdr:row>121</xdr:row>
                <xdr:rowOff>0</xdr:rowOff>
              </from>
              <to>
                <xdr:col>3</xdr:col>
                <xdr:colOff>0</xdr:colOff>
                <xdr:row>123</xdr:row>
                <xdr:rowOff>50800</xdr:rowOff>
              </to>
            </anchor>
          </controlPr>
        </control>
      </mc:Choice>
    </mc:AlternateContent>
    <mc:AlternateContent xmlns:mc="http://schemas.openxmlformats.org/markup-compatibility/2006">
      <mc:Choice Requires="x14">
        <control shapeId="19510" r:id="rId61" name="cbUseDefaultPageHeaderFormat">
          <controlPr defaultSize="0" autoFill="0" autoLine="0" autoPict="0">
            <anchor moveWithCells="1">
              <from>
                <xdr:col>2</xdr:col>
                <xdr:colOff>127000</xdr:colOff>
                <xdr:row>129</xdr:row>
                <xdr:rowOff>0</xdr:rowOff>
              </from>
              <to>
                <xdr:col>3</xdr:col>
                <xdr:colOff>0</xdr:colOff>
                <xdr:row>131</xdr:row>
                <xdr:rowOff>50800</xdr:rowOff>
              </to>
            </anchor>
          </controlPr>
        </control>
      </mc:Choice>
    </mc:AlternateContent>
    <mc:AlternateContent xmlns:mc="http://schemas.openxmlformats.org/markup-compatibility/2006">
      <mc:Choice Requires="x14">
        <control shapeId="19511" r:id="rId62" name="cbUseDimensionFormatting">
          <controlPr defaultSize="0" autoFill="0" autoLine="0" autoPict="0">
            <anchor moveWithCells="1">
              <from>
                <xdr:col>2</xdr:col>
                <xdr:colOff>127000</xdr:colOff>
                <xdr:row>132</xdr:row>
                <xdr:rowOff>12700</xdr:rowOff>
              </from>
              <to>
                <xdr:col>3</xdr:col>
                <xdr:colOff>0</xdr:colOff>
                <xdr:row>133</xdr:row>
                <xdr:rowOff>171450</xdr:rowOff>
              </to>
            </anchor>
          </controlPr>
        </control>
      </mc:Choice>
    </mc:AlternateContent>
    <mc:AlternateContent xmlns:mc="http://schemas.openxmlformats.org/markup-compatibility/2006">
      <mc:Choice Requires="x14">
        <control shapeId="19512" r:id="rId63" name="AddDimension">
          <controlPr defaultSize="0" print="0" autoFill="0" autoPict="0" macro="_xll.FPMXLClient.TechnicalCategory.ButtonActionInEPMClientFormattingSheet">
            <anchor moveWithCells="1">
              <from>
                <xdr:col>3</xdr:col>
                <xdr:colOff>57150</xdr:colOff>
                <xdr:row>134</xdr:row>
                <xdr:rowOff>31750</xdr:rowOff>
              </from>
              <to>
                <xdr:col>4</xdr:col>
                <xdr:colOff>0</xdr:colOff>
                <xdr:row>135</xdr:row>
                <xdr:rowOff>0</xdr:rowOff>
              </to>
            </anchor>
          </controlPr>
        </control>
      </mc:Choice>
    </mc:AlternateContent>
    <mc:AlternateContent xmlns:mc="http://schemas.openxmlformats.org/markup-compatibility/2006">
      <mc:Choice Requires="x14">
        <control shapeId="19513" r:id="rId64" name="AddedMember2_1">
          <controlPr defaultSize="0" print="0" autoFill="0" autoPict="0" macro="_xll.FPMXLClient.TechnicalCategory.ButtonActionInEPMClientFormattingSheet">
            <anchor moveWithCells="1">
              <from>
                <xdr:col>12</xdr:col>
                <xdr:colOff>0</xdr:colOff>
                <xdr:row>94</xdr:row>
                <xdr:rowOff>0</xdr:rowOff>
              </from>
              <to>
                <xdr:col>13</xdr:col>
                <xdr:colOff>0</xdr:colOff>
                <xdr:row>95</xdr:row>
                <xdr:rowOff>12700</xdr:rowOff>
              </to>
            </anchor>
          </controlPr>
        </control>
      </mc:Choice>
    </mc:AlternateContent>
    <mc:AlternateContent xmlns:mc="http://schemas.openxmlformats.org/markup-compatibility/2006">
      <mc:Choice Requires="x14">
        <control shapeId="19514" r:id="rId65" name="ChangeMember2_1">
          <controlPr defaultSize="0" print="0" autoFill="0" autoPict="0" macro="_xll.FPMXLClient.TechnicalCategory.ButtonActionInEPMClientFormattingSheet">
            <anchor moveWithCells="1">
              <from>
                <xdr:col>12</xdr:col>
                <xdr:colOff>736600</xdr:colOff>
                <xdr:row>94</xdr:row>
                <xdr:rowOff>0</xdr:rowOff>
              </from>
              <to>
                <xdr:col>14</xdr:col>
                <xdr:colOff>0</xdr:colOff>
                <xdr:row>95</xdr:row>
                <xdr:rowOff>12700</xdr:rowOff>
              </to>
            </anchor>
          </controlPr>
        </control>
      </mc:Choice>
    </mc:AlternateContent>
    <mc:AlternateContent xmlns:mc="http://schemas.openxmlformats.org/markup-compatibility/2006">
      <mc:Choice Requires="x14">
        <control shapeId="19515" r:id="rId66" name="UpMember2_1">
          <controlPr defaultSize="0" print="0" autoFill="0" autoPict="0" macro="_xll.FPMXLClient.TechnicalCategory.ButtonActionInEPMClientFormattingSheet">
            <anchor moveWithCells="1">
              <from>
                <xdr:col>14</xdr:col>
                <xdr:colOff>0</xdr:colOff>
                <xdr:row>94</xdr:row>
                <xdr:rowOff>0</xdr:rowOff>
              </from>
              <to>
                <xdr:col>15</xdr:col>
                <xdr:colOff>0</xdr:colOff>
                <xdr:row>95</xdr:row>
                <xdr:rowOff>12700</xdr:rowOff>
              </to>
            </anchor>
          </controlPr>
        </control>
      </mc:Choice>
    </mc:AlternateContent>
    <mc:AlternateContent xmlns:mc="http://schemas.openxmlformats.org/markup-compatibility/2006">
      <mc:Choice Requires="x14">
        <control shapeId="19516" r:id="rId67" name="DownMember2_1">
          <controlPr defaultSize="0" print="0" autoFill="0" autoPict="0" macro="_xll.FPMXLClient.TechnicalCategory.ButtonActionInEPMClientFormattingSheet">
            <anchor moveWithCells="1">
              <from>
                <xdr:col>15</xdr:col>
                <xdr:colOff>12700</xdr:colOff>
                <xdr:row>94</xdr:row>
                <xdr:rowOff>0</xdr:rowOff>
              </from>
              <to>
                <xdr:col>16</xdr:col>
                <xdr:colOff>0</xdr:colOff>
                <xdr:row>95</xdr:row>
                <xdr:rowOff>12700</xdr:rowOff>
              </to>
            </anchor>
          </controlPr>
        </control>
      </mc:Choice>
    </mc:AlternateContent>
    <mc:AlternateContent xmlns:mc="http://schemas.openxmlformats.org/markup-compatibility/2006">
      <mc:Choice Requires="x14">
        <control shapeId="19517" r:id="rId68" name="AddedMember2_2">
          <controlPr defaultSize="0" print="0" autoFill="0" autoPict="0" macro="_xll.FPMXLClient.TechnicalCategory.ButtonActionInEPMClientFormattingSheet">
            <anchor moveWithCells="1">
              <from>
                <xdr:col>12</xdr:col>
                <xdr:colOff>0</xdr:colOff>
                <xdr:row>97</xdr:row>
                <xdr:rowOff>12700</xdr:rowOff>
              </from>
              <to>
                <xdr:col>13</xdr:col>
                <xdr:colOff>0</xdr:colOff>
                <xdr:row>98</xdr:row>
                <xdr:rowOff>12700</xdr:rowOff>
              </to>
            </anchor>
          </controlPr>
        </control>
      </mc:Choice>
    </mc:AlternateContent>
    <mc:AlternateContent xmlns:mc="http://schemas.openxmlformats.org/markup-compatibility/2006">
      <mc:Choice Requires="x14">
        <control shapeId="19518" r:id="rId69" name="ChangeMember2_2">
          <controlPr defaultSize="0" print="0" autoFill="0" autoPict="0" macro="_xll.FPMXLClient.TechnicalCategory.ButtonActionInEPMClientFormattingSheet">
            <anchor moveWithCells="1">
              <from>
                <xdr:col>12</xdr:col>
                <xdr:colOff>736600</xdr:colOff>
                <xdr:row>97</xdr:row>
                <xdr:rowOff>12700</xdr:rowOff>
              </from>
              <to>
                <xdr:col>14</xdr:col>
                <xdr:colOff>0</xdr:colOff>
                <xdr:row>98</xdr:row>
                <xdr:rowOff>12700</xdr:rowOff>
              </to>
            </anchor>
          </controlPr>
        </control>
      </mc:Choice>
    </mc:AlternateContent>
    <mc:AlternateContent xmlns:mc="http://schemas.openxmlformats.org/markup-compatibility/2006">
      <mc:Choice Requires="x14">
        <control shapeId="19519" r:id="rId70" name="UpMember2_2">
          <controlPr defaultSize="0" print="0" autoFill="0" autoPict="0" macro="_xll.FPMXLClient.TechnicalCategory.ButtonActionInEPMClientFormattingSheet">
            <anchor moveWithCells="1">
              <from>
                <xdr:col>14</xdr:col>
                <xdr:colOff>0</xdr:colOff>
                <xdr:row>97</xdr:row>
                <xdr:rowOff>12700</xdr:rowOff>
              </from>
              <to>
                <xdr:col>15</xdr:col>
                <xdr:colOff>0</xdr:colOff>
                <xdr:row>98</xdr:row>
                <xdr:rowOff>12700</xdr:rowOff>
              </to>
            </anchor>
          </controlPr>
        </control>
      </mc:Choice>
    </mc:AlternateContent>
    <mc:AlternateContent xmlns:mc="http://schemas.openxmlformats.org/markup-compatibility/2006">
      <mc:Choice Requires="x14">
        <control shapeId="19520" r:id="rId71" name="DownMember2_2">
          <controlPr defaultSize="0" print="0" autoFill="0" autoPict="0" macro="_xll.FPMXLClient.TechnicalCategory.ButtonActionInEPMClientFormattingSheet">
            <anchor moveWithCells="1">
              <from>
                <xdr:col>15</xdr:col>
                <xdr:colOff>12700</xdr:colOff>
                <xdr:row>97</xdr:row>
                <xdr:rowOff>12700</xdr:rowOff>
              </from>
              <to>
                <xdr:col>16</xdr:col>
                <xdr:colOff>0</xdr:colOff>
                <xdr:row>98</xdr:row>
                <xdr:rowOff>12700</xdr:rowOff>
              </to>
            </anchor>
          </controlPr>
        </control>
      </mc:Choice>
    </mc:AlternateContent>
    <mc:AlternateContent xmlns:mc="http://schemas.openxmlformats.org/markup-compatibility/2006">
      <mc:Choice Requires="x14">
        <control shapeId="19540" r:id="rId72" name="AddedMember2_3">
          <controlPr defaultSize="0" print="0" autoFill="0" autoPict="0" macro="_xll.FPMXLClient.TechnicalCategory.ButtonActionInEPMClientFormattingSheet">
            <anchor moveWithCells="1">
              <from>
                <xdr:col>12</xdr:col>
                <xdr:colOff>0</xdr:colOff>
                <xdr:row>100</xdr:row>
                <xdr:rowOff>0</xdr:rowOff>
              </from>
              <to>
                <xdr:col>12</xdr:col>
                <xdr:colOff>685800</xdr:colOff>
                <xdr:row>101</xdr:row>
                <xdr:rowOff>0</xdr:rowOff>
              </to>
            </anchor>
          </controlPr>
        </control>
      </mc:Choice>
    </mc:AlternateContent>
    <mc:AlternateContent xmlns:mc="http://schemas.openxmlformats.org/markup-compatibility/2006">
      <mc:Choice Requires="x14">
        <control shapeId="19541" r:id="rId73" name="ChangeMember2_3">
          <controlPr defaultSize="0" print="0" autoFill="0" autoPict="0" macro="_xll.FPMXLClient.TechnicalCategory.ButtonActionInEPMClientFormattingSheet">
            <anchor moveWithCells="1">
              <from>
                <xdr:col>13</xdr:col>
                <xdr:colOff>0</xdr:colOff>
                <xdr:row>100</xdr:row>
                <xdr:rowOff>0</xdr:rowOff>
              </from>
              <to>
                <xdr:col>13</xdr:col>
                <xdr:colOff>685800</xdr:colOff>
                <xdr:row>101</xdr:row>
                <xdr:rowOff>0</xdr:rowOff>
              </to>
            </anchor>
          </controlPr>
        </control>
      </mc:Choice>
    </mc:AlternateContent>
    <mc:AlternateContent xmlns:mc="http://schemas.openxmlformats.org/markup-compatibility/2006">
      <mc:Choice Requires="x14">
        <control shapeId="19542" r:id="rId74" name="UpMember2_3">
          <controlPr defaultSize="0" print="0" autoFill="0" autoPict="0" macro="_xll.FPMXLClient.TechnicalCategory.ButtonActionInEPMClientFormattingSheet">
            <anchor moveWithCells="1">
              <from>
                <xdr:col>14</xdr:col>
                <xdr:colOff>0</xdr:colOff>
                <xdr:row>100</xdr:row>
                <xdr:rowOff>0</xdr:rowOff>
              </from>
              <to>
                <xdr:col>14</xdr:col>
                <xdr:colOff>685800</xdr:colOff>
                <xdr:row>101</xdr:row>
                <xdr:rowOff>0</xdr:rowOff>
              </to>
            </anchor>
          </controlPr>
        </control>
      </mc:Choice>
    </mc:AlternateContent>
    <mc:AlternateContent xmlns:mc="http://schemas.openxmlformats.org/markup-compatibility/2006">
      <mc:Choice Requires="x14">
        <control shapeId="19543" r:id="rId75" name="DownMember2_3">
          <controlPr defaultSize="0" print="0" autoFill="0" autoPict="0" macro="_xll.FPMXLClient.TechnicalCategory.ButtonActionInEPMClientFormattingSheet">
            <anchor moveWithCells="1">
              <from>
                <xdr:col>14</xdr:col>
                <xdr:colOff>698500</xdr:colOff>
                <xdr:row>100</xdr:row>
                <xdr:rowOff>0</xdr:rowOff>
              </from>
              <to>
                <xdr:col>15</xdr:col>
                <xdr:colOff>679450</xdr:colOff>
                <xdr:row>101</xdr:row>
                <xdr:rowOff>0</xdr:rowOff>
              </to>
            </anchor>
          </controlPr>
        </control>
      </mc:Choice>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C2AFC-80DE-4AF4-A48A-0B72EB8253A5}">
  <sheetPr codeName="Sheet15"/>
  <dimension ref="C6:G21"/>
  <sheetViews>
    <sheetView showGridLines="0" workbookViewId="0">
      <selection activeCell="I15" sqref="I15"/>
    </sheetView>
  </sheetViews>
  <sheetFormatPr defaultRowHeight="14.5" x14ac:dyDescent="0.35"/>
  <cols>
    <col min="3" max="3" width="10.1796875" customWidth="1"/>
    <col min="5" max="5" width="15.7265625" bestFit="1" customWidth="1"/>
    <col min="6" max="6" width="12.7265625" customWidth="1"/>
    <col min="7" max="7" width="13.54296875" customWidth="1"/>
  </cols>
  <sheetData>
    <row r="6" spans="5:7" x14ac:dyDescent="0.35">
      <c r="E6" s="145" t="s">
        <v>46</v>
      </c>
      <c r="F6" s="145"/>
    </row>
    <row r="7" spans="5:7" x14ac:dyDescent="0.35">
      <c r="E7" s="55" t="s">
        <v>47</v>
      </c>
      <c r="F7" s="54" t="str" cm="1">
        <f t="array" ref="F7">_xll.EPMContextMember("BMAIN","TIME")</f>
        <v>2020.JAN</v>
      </c>
      <c r="G7" s="94" t="s">
        <v>163</v>
      </c>
    </row>
    <row r="8" spans="5:7" x14ac:dyDescent="0.35">
      <c r="E8" s="55" t="s">
        <v>78</v>
      </c>
      <c r="F8" s="54" t="str" cm="1">
        <f t="array" ref="F8">_xll.EPMContextMember("BMAIN","Category")</f>
        <v>FC100</v>
      </c>
      <c r="G8" s="94" t="s">
        <v>163</v>
      </c>
    </row>
    <row r="9" spans="5:7" x14ac:dyDescent="0.35">
      <c r="E9" s="55" t="s">
        <v>118</v>
      </c>
      <c r="F9" s="54" t="str">
        <f>_xll.EPMContextMember("BMAIN",E9)</f>
        <v>1090</v>
      </c>
      <c r="G9" s="94" t="s">
        <v>163</v>
      </c>
    </row>
    <row r="21" spans="3:3" x14ac:dyDescent="0.35">
      <c r="C21" cm="1">
        <f t="array" ref="C21">COUNTIF(C6:C16,getcolor)</f>
        <v>0</v>
      </c>
    </row>
  </sheetData>
  <sheetProtection formatCells="0" formatColumns="0" formatRows="0" insertColumns="0" insertRows="0" insertHyperlinks="0" deleteColumns="0" deleteRows="0" sort="0" autoFilter="0" pivotTables="0"/>
  <mergeCells count="1">
    <mergeCell ref="E6:F6"/>
  </mergeCells>
  <pageMargins left="0.7" right="0.7" top="0.75" bottom="0.75" header="0.3" footer="0.3"/>
  <pageSetup orientation="portrait" r:id="rId1"/>
  <headerFooter>
    <oddFooter>&amp;C_x000D_&amp;1#&amp;"Calibri"&amp;10&amp;K000000 Restricted : General Al-Futtaim Group</oddFooter>
  </headerFooter>
  <customProperties>
    <customPr name="_pios_id" r:id="rId2"/>
    <customPr name="EpmWorksheetKeyString_GUID" r:id="rId3"/>
    <customPr name="FPMExcelClientCellBasedFunctionStatus" r:id="rId4"/>
    <customPr name="FPMExcelClientRefreshTime" r:id="rId5"/>
  </customProperties>
  <drawing r:id="rId6"/>
  <legacyDrawing r:id="rId7"/>
  <controls>
    <mc:AlternateContent xmlns:mc="http://schemas.openxmlformats.org/markup-compatibility/2006">
      <mc:Choice Requires="x14">
        <control shapeId="29697" r:id="rId8" name="FPMExcelClientSheetOptions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9697" r:id="rId8" name="FPMExcelClientSheetOptionstb1"/>
      </mc:Fallback>
    </mc:AlternateContent>
    <mc:AlternateContent xmlns:mc="http://schemas.openxmlformats.org/markup-compatibility/2006">
      <mc:Choice Requires="x14">
        <control shapeId="29698" r:id="rId10" name="CustomMemberDispatcher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9698" r:id="rId10" name="CustomMemberDispatcher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3E30-CBE3-4132-AE1E-C7D3DD7CF859}">
  <sheetPr codeName="Sheet10"/>
  <dimension ref="A1:AB151"/>
  <sheetViews>
    <sheetView showGridLines="0" topLeftCell="A45" zoomScale="85" zoomScaleNormal="85" workbookViewId="0">
      <selection activeCell="F66" sqref="F66"/>
    </sheetView>
  </sheetViews>
  <sheetFormatPr defaultColWidth="9.1796875" defaultRowHeight="14" x14ac:dyDescent="0.3"/>
  <cols>
    <col min="1" max="1" width="1.7265625" style="4" customWidth="1"/>
    <col min="2" max="2" width="12.7265625" style="4" customWidth="1"/>
    <col min="3" max="3" width="15.7265625" style="4" customWidth="1"/>
    <col min="4" max="4" width="64.7265625" style="4" customWidth="1"/>
    <col min="5" max="5" width="3.26953125" style="4" customWidth="1"/>
    <col min="6" max="6" width="14.26953125" style="4" customWidth="1"/>
    <col min="7" max="7" width="3.26953125" style="4" customWidth="1"/>
    <col min="8" max="8" width="30.7265625" style="4" customWidth="1"/>
    <col min="9" max="9" width="3.26953125" style="4" customWidth="1"/>
    <col min="10" max="10" width="14.26953125" style="4" customWidth="1"/>
    <col min="11" max="11" width="3.26953125" style="4" customWidth="1"/>
    <col min="12" max="12" width="36.7265625" style="4" customWidth="1"/>
    <col min="13" max="16" width="10.7265625" style="4" customWidth="1"/>
    <col min="17" max="17" width="90.7265625" style="4" customWidth="1"/>
    <col min="18" max="27" width="9.1796875" style="4"/>
    <col min="28" max="28" width="21.1796875" style="4" bestFit="1" customWidth="1"/>
    <col min="29" max="16384" width="9.1796875" style="4"/>
  </cols>
  <sheetData>
    <row r="1" spans="1:28" ht="42" customHeight="1" x14ac:dyDescent="0.3">
      <c r="A1" s="5"/>
      <c r="B1" s="138" t="s">
        <v>0</v>
      </c>
      <c r="C1" s="138"/>
      <c r="D1" s="138"/>
      <c r="E1" s="138"/>
      <c r="F1" s="138"/>
      <c r="G1" s="138"/>
      <c r="H1" s="138"/>
      <c r="I1" s="138"/>
      <c r="J1" s="138"/>
      <c r="K1" s="138"/>
      <c r="L1" s="138"/>
      <c r="AA1" s="3">
        <v>1</v>
      </c>
      <c r="AB1" s="3" t="b">
        <v>0</v>
      </c>
    </row>
    <row r="2" spans="1:28" ht="15.75" customHeight="1" x14ac:dyDescent="0.3">
      <c r="A2" s="41" t="s">
        <v>32</v>
      </c>
      <c r="B2" s="5"/>
      <c r="C2" s="5"/>
      <c r="D2" s="5"/>
      <c r="E2" s="5"/>
      <c r="F2" s="5"/>
      <c r="G2" s="5"/>
      <c r="H2" s="5"/>
      <c r="I2" s="5"/>
      <c r="J2" s="5"/>
      <c r="K2" s="5"/>
      <c r="L2" s="5"/>
    </row>
    <row r="3" spans="1:28" ht="15.75" customHeight="1" x14ac:dyDescent="0.3">
      <c r="A3" s="5"/>
      <c r="B3" s="6" t="s">
        <v>1</v>
      </c>
      <c r="C3" s="5"/>
      <c r="D3" s="5"/>
      <c r="E3" s="5"/>
      <c r="F3" s="5"/>
      <c r="G3" s="5"/>
      <c r="H3" s="5"/>
      <c r="I3" s="5"/>
      <c r="J3" s="5"/>
      <c r="K3" s="5"/>
      <c r="L3" s="5"/>
    </row>
    <row r="4" spans="1:28" ht="18" customHeight="1" thickBot="1" x14ac:dyDescent="0.35">
      <c r="A4" s="5"/>
      <c r="B4" s="5"/>
      <c r="C4" s="5"/>
      <c r="D4" s="5"/>
      <c r="E4" s="5"/>
      <c r="F4" s="5"/>
      <c r="G4" s="5"/>
      <c r="H4" s="5"/>
      <c r="I4" s="5"/>
      <c r="J4" s="5"/>
      <c r="K4" s="5"/>
      <c r="L4" s="5"/>
    </row>
    <row r="5" spans="1:28" ht="28.4" customHeight="1" x14ac:dyDescent="0.3">
      <c r="A5" s="5"/>
      <c r="B5" s="139" t="s">
        <v>2</v>
      </c>
      <c r="C5" s="140"/>
      <c r="D5" s="140"/>
      <c r="E5" s="140"/>
      <c r="F5" s="140"/>
      <c r="G5" s="140"/>
      <c r="H5" s="140"/>
      <c r="I5" s="140"/>
      <c r="J5" s="140"/>
      <c r="K5" s="140"/>
      <c r="L5" s="141"/>
      <c r="Q5" s="35" t="s">
        <v>25</v>
      </c>
    </row>
    <row r="6" spans="1:28" ht="28.4" customHeight="1" x14ac:dyDescent="0.3">
      <c r="A6" s="5"/>
      <c r="B6" s="142"/>
      <c r="C6" s="143"/>
      <c r="D6" s="143"/>
      <c r="E6" s="143"/>
      <c r="F6" s="143"/>
      <c r="G6" s="143"/>
      <c r="H6" s="143"/>
      <c r="I6" s="143"/>
      <c r="J6" s="143"/>
      <c r="K6" s="143"/>
      <c r="L6" s="144"/>
      <c r="Q6" s="36" t="s">
        <v>26</v>
      </c>
    </row>
    <row r="7" spans="1:28" ht="21.75" customHeight="1" x14ac:dyDescent="0.3">
      <c r="A7" s="5"/>
      <c r="B7" s="124" t="s">
        <v>6</v>
      </c>
      <c r="C7" s="5"/>
      <c r="D7" s="5"/>
      <c r="E7" s="5"/>
      <c r="F7" s="5"/>
      <c r="G7" s="5"/>
      <c r="H7" s="5"/>
      <c r="I7" s="5"/>
      <c r="J7" s="5"/>
      <c r="K7" s="5"/>
      <c r="L7" s="16"/>
      <c r="Q7" s="111" t="s">
        <v>28</v>
      </c>
    </row>
    <row r="8" spans="1:28" ht="18" customHeight="1" x14ac:dyDescent="0.3">
      <c r="A8" s="5"/>
      <c r="B8" s="125"/>
      <c r="C8" s="5"/>
      <c r="D8" s="5"/>
      <c r="E8" s="5"/>
      <c r="F8" s="5"/>
      <c r="G8" s="5"/>
      <c r="H8" s="5"/>
      <c r="I8" s="5"/>
      <c r="J8" s="5"/>
      <c r="K8" s="5"/>
      <c r="L8" s="16"/>
      <c r="Q8" s="111"/>
    </row>
    <row r="9" spans="1:28" ht="17.149999999999999" customHeight="1" x14ac:dyDescent="0.3">
      <c r="A9" s="5"/>
      <c r="B9" s="125"/>
      <c r="C9" s="8"/>
      <c r="D9" s="9"/>
      <c r="E9" s="115" t="s">
        <v>3</v>
      </c>
      <c r="F9" s="116"/>
      <c r="G9" s="117"/>
      <c r="H9" s="7" t="s">
        <v>4</v>
      </c>
      <c r="I9" s="115" t="s">
        <v>5</v>
      </c>
      <c r="J9" s="116"/>
      <c r="K9" s="117"/>
      <c r="L9" s="17" t="s">
        <v>4</v>
      </c>
      <c r="Q9" s="111"/>
    </row>
    <row r="10" spans="1:28" ht="5.15" customHeight="1" x14ac:dyDescent="0.3">
      <c r="A10" s="5"/>
      <c r="B10" s="125"/>
      <c r="C10" s="112"/>
      <c r="D10" s="5"/>
      <c r="E10" s="18"/>
      <c r="F10" s="18"/>
      <c r="G10" s="18"/>
      <c r="H10" s="12"/>
      <c r="I10" s="18"/>
      <c r="J10" s="18"/>
      <c r="K10" s="18"/>
      <c r="L10" s="16"/>
      <c r="Q10" s="111"/>
    </row>
    <row r="11" spans="1:28" ht="15.75" customHeight="1" x14ac:dyDescent="0.3">
      <c r="A11" s="5"/>
      <c r="B11" s="125"/>
      <c r="C11" s="113"/>
      <c r="D11" s="19" t="s">
        <v>7</v>
      </c>
      <c r="E11" s="18"/>
      <c r="F11" s="79">
        <v>10000</v>
      </c>
      <c r="G11" s="18"/>
      <c r="H11" s="13" t="s">
        <v>8</v>
      </c>
      <c r="I11" s="18"/>
      <c r="J11" s="80" t="s">
        <v>9</v>
      </c>
      <c r="K11" s="18"/>
      <c r="L11" s="22" t="s">
        <v>8</v>
      </c>
      <c r="Q11" s="111"/>
    </row>
    <row r="12" spans="1:28" ht="5.15" customHeight="1" x14ac:dyDescent="0.3">
      <c r="A12" s="5"/>
      <c r="B12" s="125"/>
      <c r="C12" s="114"/>
      <c r="D12" s="10"/>
      <c r="E12" s="11"/>
      <c r="F12" s="11"/>
      <c r="G12" s="11"/>
      <c r="H12" s="9"/>
      <c r="I12" s="11"/>
      <c r="J12" s="11"/>
      <c r="K12" s="11"/>
      <c r="L12" s="23"/>
      <c r="Q12" s="111"/>
    </row>
    <row r="13" spans="1:28" ht="5.15" customHeight="1" x14ac:dyDescent="0.3">
      <c r="A13" s="5"/>
      <c r="B13" s="125"/>
      <c r="C13" s="113"/>
      <c r="D13" s="5"/>
      <c r="E13" s="18"/>
      <c r="F13" s="18"/>
      <c r="G13" s="18"/>
      <c r="H13" s="14"/>
      <c r="I13" s="18"/>
      <c r="J13" s="18"/>
      <c r="K13" s="18"/>
      <c r="L13" s="16"/>
      <c r="Q13" s="111"/>
    </row>
    <row r="14" spans="1:28" ht="15.75" customHeight="1" x14ac:dyDescent="0.3">
      <c r="A14" s="5"/>
      <c r="B14" s="125"/>
      <c r="C14" s="113"/>
      <c r="D14" s="19" t="s">
        <v>10</v>
      </c>
      <c r="E14" s="18"/>
      <c r="F14" s="20">
        <v>10000</v>
      </c>
      <c r="G14" s="18"/>
      <c r="H14" s="13" t="s">
        <v>8</v>
      </c>
      <c r="I14" s="18"/>
      <c r="J14" s="21" t="s">
        <v>9</v>
      </c>
      <c r="K14" s="18"/>
      <c r="L14" s="22" t="s">
        <v>8</v>
      </c>
      <c r="Q14" s="111"/>
    </row>
    <row r="15" spans="1:28" ht="5.15" customHeight="1" x14ac:dyDescent="0.3">
      <c r="A15" s="5"/>
      <c r="B15" s="125"/>
      <c r="C15" s="114"/>
      <c r="D15" s="10"/>
      <c r="E15" s="11"/>
      <c r="F15" s="11"/>
      <c r="G15" s="11"/>
      <c r="H15" s="9"/>
      <c r="I15" s="11"/>
      <c r="J15" s="11"/>
      <c r="K15" s="11"/>
      <c r="L15" s="23"/>
      <c r="Q15" s="111"/>
    </row>
    <row r="16" spans="1:28" ht="11.15" customHeight="1" x14ac:dyDescent="0.3">
      <c r="A16" s="5"/>
      <c r="B16" s="125"/>
      <c r="C16" s="113"/>
      <c r="D16" s="137" t="s">
        <v>11</v>
      </c>
      <c r="E16" s="18"/>
      <c r="F16" s="18"/>
      <c r="G16" s="18"/>
      <c r="H16" s="14"/>
      <c r="I16" s="18"/>
      <c r="J16" s="18"/>
      <c r="K16" s="18"/>
      <c r="L16" s="16"/>
      <c r="Q16" s="111"/>
    </row>
    <row r="17" spans="1:17" ht="11.15" customHeight="1" x14ac:dyDescent="0.3">
      <c r="A17" s="5"/>
      <c r="B17" s="125"/>
      <c r="C17" s="113"/>
      <c r="D17" s="137"/>
      <c r="E17" s="18"/>
      <c r="F17" s="18"/>
      <c r="G17" s="18"/>
      <c r="H17" s="14"/>
      <c r="I17" s="18"/>
      <c r="J17" s="18"/>
      <c r="K17" s="18"/>
      <c r="L17" s="16"/>
      <c r="Q17" s="111"/>
    </row>
    <row r="18" spans="1:17" ht="15.75" customHeight="1" x14ac:dyDescent="0.3">
      <c r="A18" s="5"/>
      <c r="B18" s="125"/>
      <c r="C18" s="15"/>
      <c r="D18" s="24" t="str">
        <f>IF(AA1=2, "Level 1", IF(AB1=TRUE, IF(A26-1=0, "Lowest Level","Lowest Level -"&amp;(A26-1)), "Level 1"))</f>
        <v>Level 1</v>
      </c>
      <c r="E18" s="18"/>
      <c r="F18" s="20">
        <v>10000</v>
      </c>
      <c r="G18" s="18"/>
      <c r="H18" s="13" t="s">
        <v>8</v>
      </c>
      <c r="I18" s="18"/>
      <c r="J18" s="21" t="s">
        <v>9</v>
      </c>
      <c r="K18" s="18"/>
      <c r="L18" s="22" t="s">
        <v>8</v>
      </c>
      <c r="Q18" s="111"/>
    </row>
    <row r="19" spans="1:17" ht="5.15" customHeight="1" x14ac:dyDescent="0.3">
      <c r="A19" s="5"/>
      <c r="B19" s="125"/>
      <c r="C19" s="15"/>
      <c r="D19" s="10"/>
      <c r="E19" s="11"/>
      <c r="F19" s="11"/>
      <c r="G19" s="11"/>
      <c r="H19" s="9"/>
      <c r="I19" s="11"/>
      <c r="J19" s="11"/>
      <c r="K19" s="11"/>
      <c r="L19" s="23"/>
      <c r="Q19" s="111"/>
    </row>
    <row r="20" spans="1:17" ht="5.15" customHeight="1" x14ac:dyDescent="0.35">
      <c r="A20" s="5"/>
      <c r="B20" s="125"/>
      <c r="C20" s="15"/>
      <c r="D20" s="5"/>
      <c r="E20" s="18"/>
      <c r="F20" s="18"/>
      <c r="G20" s="18"/>
      <c r="H20" s="14"/>
      <c r="I20" s="18"/>
      <c r="J20" s="18"/>
      <c r="K20" s="18"/>
      <c r="L20" s="16"/>
      <c r="Q20" s="37"/>
    </row>
    <row r="21" spans="1:17" ht="15.75" customHeight="1" x14ac:dyDescent="0.3">
      <c r="A21" s="5"/>
      <c r="B21" s="125"/>
      <c r="C21" s="15"/>
      <c r="D21" s="25" t="str">
        <f>IF(AA1=2, "Level 2", IF(AB1=TRUE, IF(A26-2=0, "Lowest Level","Lowest Level -"&amp;(A26-2)), "Level 2"))</f>
        <v>Level 2</v>
      </c>
      <c r="E21" s="18"/>
      <c r="F21" s="20">
        <v>10000</v>
      </c>
      <c r="G21" s="18"/>
      <c r="H21" s="13" t="s">
        <v>8</v>
      </c>
      <c r="I21" s="18"/>
      <c r="J21" s="21" t="s">
        <v>9</v>
      </c>
      <c r="K21" s="18"/>
      <c r="L21" s="22" t="s">
        <v>8</v>
      </c>
      <c r="Q21" s="38" t="s">
        <v>29</v>
      </c>
    </row>
    <row r="22" spans="1:17" ht="5.15" customHeight="1" x14ac:dyDescent="0.3">
      <c r="A22" s="5"/>
      <c r="B22" s="125"/>
      <c r="C22" s="15"/>
      <c r="D22" s="10"/>
      <c r="E22" s="11"/>
      <c r="F22" s="11"/>
      <c r="G22" s="11"/>
      <c r="H22" s="9"/>
      <c r="I22" s="11"/>
      <c r="J22" s="11"/>
      <c r="K22" s="11"/>
      <c r="L22" s="23"/>
      <c r="Q22" s="111" t="s">
        <v>30</v>
      </c>
    </row>
    <row r="23" spans="1:17" ht="5.15" customHeight="1" x14ac:dyDescent="0.3">
      <c r="A23" s="5"/>
      <c r="B23" s="125"/>
      <c r="C23" s="15"/>
      <c r="D23" s="5"/>
      <c r="E23" s="18"/>
      <c r="F23" s="18"/>
      <c r="G23" s="18"/>
      <c r="H23" s="14"/>
      <c r="I23" s="18"/>
      <c r="J23" s="18"/>
      <c r="K23" s="18"/>
      <c r="L23" s="16"/>
      <c r="Q23" s="111"/>
    </row>
    <row r="24" spans="1:17" ht="15.75" customHeight="1" x14ac:dyDescent="0.3">
      <c r="A24" s="5"/>
      <c r="B24" s="125"/>
      <c r="C24" s="15"/>
      <c r="D24" s="26" t="str">
        <f>IF(AA1=2, "Level 3", IF(AB1=TRUE, IF(A26-3=0, "Lowest Level","Lowest Level -"&amp;(A26-3)), "Level 3"))</f>
        <v>Level 3</v>
      </c>
      <c r="E24" s="18"/>
      <c r="F24" s="20">
        <v>10000</v>
      </c>
      <c r="G24" s="18"/>
      <c r="H24" s="13" t="s">
        <v>8</v>
      </c>
      <c r="I24" s="18"/>
      <c r="J24" s="21" t="s">
        <v>9</v>
      </c>
      <c r="K24" s="18"/>
      <c r="L24" s="22" t="s">
        <v>8</v>
      </c>
      <c r="Q24" s="111"/>
    </row>
    <row r="25" spans="1:17" ht="5.15" customHeight="1" x14ac:dyDescent="0.3">
      <c r="A25" s="5"/>
      <c r="B25" s="125"/>
      <c r="C25" s="15"/>
      <c r="D25" s="10"/>
      <c r="E25" s="11"/>
      <c r="F25" s="11"/>
      <c r="G25" s="11"/>
      <c r="H25" s="9"/>
      <c r="I25" s="11"/>
      <c r="J25" s="11"/>
      <c r="K25" s="11"/>
      <c r="L25" s="23"/>
      <c r="Q25" s="111"/>
    </row>
    <row r="26" spans="1:17" ht="22" customHeight="1" x14ac:dyDescent="0.3">
      <c r="A26" s="5">
        <v>3</v>
      </c>
      <c r="B26" s="125"/>
      <c r="C26" s="15"/>
      <c r="D26" s="5"/>
      <c r="E26" s="5"/>
      <c r="F26" s="5"/>
      <c r="G26" s="5"/>
      <c r="H26" s="5"/>
      <c r="I26" s="5"/>
      <c r="J26" s="5"/>
      <c r="K26" s="5"/>
      <c r="L26" s="16"/>
      <c r="Q26" s="111"/>
    </row>
    <row r="27" spans="1:17" ht="5.15" customHeight="1" thickBot="1" x14ac:dyDescent="0.35">
      <c r="A27" s="5"/>
      <c r="B27" s="132"/>
      <c r="C27" s="27"/>
      <c r="D27" s="28"/>
      <c r="E27" s="28"/>
      <c r="F27" s="28"/>
      <c r="G27" s="28"/>
      <c r="H27" s="28"/>
      <c r="I27" s="28"/>
      <c r="J27" s="28"/>
      <c r="K27" s="28"/>
      <c r="L27" s="29"/>
      <c r="Q27" s="111"/>
    </row>
    <row r="28" spans="1:17" ht="21.75" customHeight="1" x14ac:dyDescent="0.3">
      <c r="A28" s="5"/>
      <c r="B28" s="136" t="s">
        <v>12</v>
      </c>
      <c r="C28" s="30"/>
      <c r="D28" s="30"/>
      <c r="E28" s="30"/>
      <c r="F28" s="30"/>
      <c r="G28" s="30"/>
      <c r="H28" s="30"/>
      <c r="I28" s="30"/>
      <c r="J28" s="30"/>
      <c r="K28" s="30"/>
      <c r="L28" s="31"/>
      <c r="Q28" s="111"/>
    </row>
    <row r="29" spans="1:17" ht="18" customHeight="1" x14ac:dyDescent="0.3">
      <c r="A29" s="5"/>
      <c r="B29" s="125"/>
      <c r="C29" s="5"/>
      <c r="D29" s="5"/>
      <c r="E29" s="5"/>
      <c r="F29" s="5"/>
      <c r="G29" s="5"/>
      <c r="H29" s="5"/>
      <c r="I29" s="5"/>
      <c r="J29" s="5"/>
      <c r="K29" s="5"/>
      <c r="L29" s="16"/>
      <c r="Q29" s="111"/>
    </row>
    <row r="30" spans="1:17" ht="17.149999999999999" customHeight="1" x14ac:dyDescent="0.35">
      <c r="A30" s="5"/>
      <c r="B30" s="125"/>
      <c r="C30" s="8"/>
      <c r="D30" s="9"/>
      <c r="E30" s="115" t="s">
        <v>3</v>
      </c>
      <c r="F30" s="116"/>
      <c r="G30" s="117"/>
      <c r="H30" s="7" t="s">
        <v>4</v>
      </c>
      <c r="I30" s="115" t="s">
        <v>5</v>
      </c>
      <c r="J30" s="116"/>
      <c r="K30" s="117"/>
      <c r="L30" s="17" t="s">
        <v>4</v>
      </c>
      <c r="Q30" s="37"/>
    </row>
    <row r="31" spans="1:17" ht="5.15" customHeight="1" x14ac:dyDescent="0.35">
      <c r="A31" s="5"/>
      <c r="B31" s="125"/>
      <c r="C31" s="112"/>
      <c r="D31" s="5"/>
      <c r="E31" s="18"/>
      <c r="F31" s="18"/>
      <c r="G31" s="18"/>
      <c r="H31" s="12"/>
      <c r="I31" s="18"/>
      <c r="J31" s="18"/>
      <c r="K31" s="18"/>
      <c r="L31" s="16"/>
      <c r="Q31" s="37"/>
    </row>
    <row r="32" spans="1:17" ht="15.75" customHeight="1" x14ac:dyDescent="0.3">
      <c r="A32" s="5"/>
      <c r="B32" s="125"/>
      <c r="C32" s="113"/>
      <c r="D32" s="19" t="s">
        <v>7</v>
      </c>
      <c r="E32" s="18"/>
      <c r="F32" s="79">
        <v>10000</v>
      </c>
      <c r="G32" s="18"/>
      <c r="H32" s="13" t="s">
        <v>8</v>
      </c>
      <c r="I32" s="18"/>
      <c r="J32" s="86" t="s">
        <v>9</v>
      </c>
      <c r="K32" s="18"/>
      <c r="L32" s="22" t="s">
        <v>8</v>
      </c>
      <c r="Q32" s="39" t="s">
        <v>27</v>
      </c>
    </row>
    <row r="33" spans="1:17" ht="5.15" customHeight="1" x14ac:dyDescent="0.3">
      <c r="A33" s="5"/>
      <c r="B33" s="125"/>
      <c r="C33" s="114"/>
      <c r="D33" s="10"/>
      <c r="E33" s="11"/>
      <c r="F33" s="11"/>
      <c r="G33" s="11"/>
      <c r="H33" s="9"/>
      <c r="I33" s="11"/>
      <c r="J33" s="11"/>
      <c r="K33" s="11"/>
      <c r="L33" s="23"/>
      <c r="Q33" s="111" t="s">
        <v>31</v>
      </c>
    </row>
    <row r="34" spans="1:17" ht="5.15" customHeight="1" x14ac:dyDescent="0.3">
      <c r="A34" s="5"/>
      <c r="B34" s="125"/>
      <c r="C34" s="113"/>
      <c r="D34" s="5"/>
      <c r="E34" s="18"/>
      <c r="F34" s="18"/>
      <c r="G34" s="18"/>
      <c r="H34" s="14"/>
      <c r="I34" s="18"/>
      <c r="J34" s="18"/>
      <c r="K34" s="18"/>
      <c r="L34" s="16"/>
      <c r="Q34" s="111"/>
    </row>
    <row r="35" spans="1:17" ht="15.75" customHeight="1" x14ac:dyDescent="0.3">
      <c r="A35" s="5"/>
      <c r="B35" s="125"/>
      <c r="C35" s="113"/>
      <c r="D35" s="19" t="s">
        <v>10</v>
      </c>
      <c r="E35" s="18"/>
      <c r="F35" s="20">
        <v>10000</v>
      </c>
      <c r="G35" s="18"/>
      <c r="H35" s="13" t="s">
        <v>8</v>
      </c>
      <c r="I35" s="18"/>
      <c r="J35" s="21" t="s">
        <v>9</v>
      </c>
      <c r="K35" s="18"/>
      <c r="L35" s="22" t="s">
        <v>8</v>
      </c>
      <c r="Q35" s="111"/>
    </row>
    <row r="36" spans="1:17" ht="5.15" customHeight="1" x14ac:dyDescent="0.3">
      <c r="A36" s="5"/>
      <c r="B36" s="125"/>
      <c r="C36" s="114"/>
      <c r="D36" s="10"/>
      <c r="E36" s="11"/>
      <c r="F36" s="11"/>
      <c r="G36" s="11"/>
      <c r="H36" s="9"/>
      <c r="I36" s="11"/>
      <c r="J36" s="11"/>
      <c r="K36" s="11"/>
      <c r="L36" s="23"/>
      <c r="Q36" s="111"/>
    </row>
    <row r="37" spans="1:17" ht="11.15" customHeight="1" x14ac:dyDescent="0.3">
      <c r="A37" s="5"/>
      <c r="B37" s="125"/>
      <c r="C37" s="113"/>
      <c r="D37" s="137" t="s">
        <v>11</v>
      </c>
      <c r="E37" s="18"/>
      <c r="F37" s="18"/>
      <c r="G37" s="18"/>
      <c r="H37" s="14"/>
      <c r="I37" s="18"/>
      <c r="J37" s="18"/>
      <c r="K37" s="18"/>
      <c r="L37" s="16"/>
      <c r="Q37" s="111"/>
    </row>
    <row r="38" spans="1:17" ht="11.15" customHeight="1" x14ac:dyDescent="0.3">
      <c r="A38" s="5"/>
      <c r="B38" s="125"/>
      <c r="C38" s="113"/>
      <c r="D38" s="137"/>
      <c r="E38" s="18"/>
      <c r="F38" s="18"/>
      <c r="G38" s="18"/>
      <c r="H38" s="14"/>
      <c r="I38" s="18"/>
      <c r="J38" s="18"/>
      <c r="K38" s="18"/>
      <c r="L38" s="16"/>
      <c r="Q38" s="111"/>
    </row>
    <row r="39" spans="1:17" ht="15.75" customHeight="1" x14ac:dyDescent="0.3">
      <c r="A39" s="5"/>
      <c r="B39" s="125"/>
      <c r="C39" s="15"/>
      <c r="D39" s="24" t="str">
        <f>IF(AA1=2, "Level 1", IF(AB1=TRUE, IF(A47-1=0, "Lowest Level","Lowest Level -"&amp;(A47-1)), "Level 1"))</f>
        <v>Level 1</v>
      </c>
      <c r="E39" s="18"/>
      <c r="F39" s="20">
        <v>10000</v>
      </c>
      <c r="G39" s="18"/>
      <c r="H39" s="13" t="s">
        <v>8</v>
      </c>
      <c r="I39" s="18"/>
      <c r="J39" s="21" t="s">
        <v>9</v>
      </c>
      <c r="K39" s="18"/>
      <c r="L39" s="22" t="s">
        <v>8</v>
      </c>
      <c r="Q39" s="111"/>
    </row>
    <row r="40" spans="1:17" ht="5.15" customHeight="1" x14ac:dyDescent="0.35">
      <c r="A40" s="5"/>
      <c r="B40" s="125"/>
      <c r="C40" s="15"/>
      <c r="D40" s="10"/>
      <c r="E40" s="11"/>
      <c r="F40" s="11"/>
      <c r="G40" s="11"/>
      <c r="H40" s="9"/>
      <c r="I40" s="11"/>
      <c r="J40" s="11"/>
      <c r="K40" s="11"/>
      <c r="L40" s="23"/>
      <c r="Q40" s="40"/>
    </row>
    <row r="41" spans="1:17" ht="5.15" customHeight="1" x14ac:dyDescent="0.3">
      <c r="A41" s="5"/>
      <c r="B41" s="125"/>
      <c r="C41" s="15"/>
      <c r="D41" s="5"/>
      <c r="E41" s="18"/>
      <c r="F41" s="18"/>
      <c r="G41" s="18"/>
      <c r="H41" s="14"/>
      <c r="I41" s="18"/>
      <c r="J41" s="18"/>
      <c r="K41" s="18"/>
      <c r="L41" s="16"/>
    </row>
    <row r="42" spans="1:17" ht="15.75" customHeight="1" x14ac:dyDescent="0.3">
      <c r="A42" s="5"/>
      <c r="B42" s="125"/>
      <c r="C42" s="15"/>
      <c r="D42" s="25" t="str">
        <f>IF(AA1=2, "Level 2", IF(AB1=TRUE, IF(A47-2=0, "Lowest Level","Lowest Level -"&amp;(A47-2)), "Level 2"))</f>
        <v>Level 2</v>
      </c>
      <c r="E42" s="18"/>
      <c r="F42" s="20">
        <v>10000</v>
      </c>
      <c r="G42" s="18"/>
      <c r="H42" s="13" t="s">
        <v>8</v>
      </c>
      <c r="I42" s="18"/>
      <c r="J42" s="21" t="s">
        <v>9</v>
      </c>
      <c r="K42" s="18"/>
      <c r="L42" s="22" t="s">
        <v>8</v>
      </c>
    </row>
    <row r="43" spans="1:17" ht="5.15" customHeight="1" x14ac:dyDescent="0.3">
      <c r="A43" s="5"/>
      <c r="B43" s="125"/>
      <c r="C43" s="15"/>
      <c r="D43" s="10"/>
      <c r="E43" s="11"/>
      <c r="F43" s="11"/>
      <c r="G43" s="11"/>
      <c r="H43" s="9"/>
      <c r="I43" s="11"/>
      <c r="J43" s="11"/>
      <c r="K43" s="11"/>
      <c r="L43" s="23"/>
    </row>
    <row r="44" spans="1:17" ht="5.15" customHeight="1" x14ac:dyDescent="0.3">
      <c r="A44" s="5"/>
      <c r="B44" s="125"/>
      <c r="C44" s="15"/>
      <c r="D44" s="5"/>
      <c r="E44" s="18"/>
      <c r="F44" s="18"/>
      <c r="G44" s="18"/>
      <c r="H44" s="14"/>
      <c r="I44" s="18"/>
      <c r="J44" s="18"/>
      <c r="K44" s="18"/>
      <c r="L44" s="16"/>
    </row>
    <row r="45" spans="1:17" ht="15.75" customHeight="1" x14ac:dyDescent="0.3">
      <c r="A45" s="5"/>
      <c r="B45" s="125"/>
      <c r="C45" s="15"/>
      <c r="D45" s="26" t="str">
        <f>IF(AA1=2, "Level 3", IF(AB1=TRUE, IF(A47-3=0, "Lowest Level","Lowest Level -"&amp;(A47-3)), "Level 3"))</f>
        <v>Level 3</v>
      </c>
      <c r="E45" s="18"/>
      <c r="F45" s="20">
        <v>10000</v>
      </c>
      <c r="G45" s="18"/>
      <c r="H45" s="13" t="s">
        <v>8</v>
      </c>
      <c r="I45" s="18"/>
      <c r="J45" s="21" t="s">
        <v>9</v>
      </c>
      <c r="K45" s="18"/>
      <c r="L45" s="22" t="s">
        <v>8</v>
      </c>
    </row>
    <row r="46" spans="1:17" ht="5.15" customHeight="1" x14ac:dyDescent="0.3">
      <c r="A46" s="5"/>
      <c r="B46" s="125"/>
      <c r="C46" s="15"/>
      <c r="D46" s="10"/>
      <c r="E46" s="11"/>
      <c r="F46" s="11"/>
      <c r="G46" s="11"/>
      <c r="H46" s="9"/>
      <c r="I46" s="11"/>
      <c r="J46" s="11"/>
      <c r="K46" s="11"/>
      <c r="L46" s="23"/>
    </row>
    <row r="47" spans="1:17" ht="22" customHeight="1" x14ac:dyDescent="0.3">
      <c r="A47" s="5">
        <v>3</v>
      </c>
      <c r="B47" s="125"/>
      <c r="C47" s="15"/>
      <c r="D47" s="5"/>
      <c r="E47" s="5"/>
      <c r="F47" s="5"/>
      <c r="G47" s="5"/>
      <c r="H47" s="5"/>
      <c r="I47" s="5"/>
      <c r="J47" s="5"/>
      <c r="K47" s="5"/>
      <c r="L47" s="16"/>
    </row>
    <row r="48" spans="1:17" ht="5.15" customHeight="1" thickBot="1" x14ac:dyDescent="0.35">
      <c r="A48" s="5"/>
      <c r="B48" s="132"/>
      <c r="C48" s="27"/>
      <c r="D48" s="28"/>
      <c r="E48" s="28"/>
      <c r="F48" s="28"/>
      <c r="G48" s="28"/>
      <c r="H48" s="28"/>
      <c r="I48" s="28"/>
      <c r="J48" s="28"/>
      <c r="K48" s="28"/>
      <c r="L48" s="29"/>
    </row>
    <row r="49" spans="1:12" ht="9" customHeight="1" x14ac:dyDescent="0.3">
      <c r="A49" s="5"/>
      <c r="B49" s="5"/>
      <c r="C49" s="5"/>
      <c r="D49" s="5"/>
      <c r="E49" s="5"/>
      <c r="F49" s="5"/>
      <c r="G49" s="5"/>
      <c r="H49" s="5"/>
      <c r="I49" s="5"/>
      <c r="J49" s="5"/>
      <c r="K49" s="5"/>
      <c r="L49" s="5"/>
    </row>
    <row r="50" spans="1:12" ht="24.65" customHeight="1" x14ac:dyDescent="0.3">
      <c r="A50" s="5"/>
      <c r="B50" s="5"/>
      <c r="C50" s="5"/>
      <c r="D50" s="5"/>
      <c r="E50" s="5"/>
      <c r="F50" s="5"/>
      <c r="G50" s="5"/>
      <c r="H50" s="5"/>
      <c r="I50" s="5"/>
      <c r="J50" s="5"/>
      <c r="K50" s="5"/>
      <c r="L50" s="5"/>
    </row>
    <row r="51" spans="1:12" ht="15" customHeight="1" thickBot="1" x14ac:dyDescent="0.35">
      <c r="A51" s="5"/>
      <c r="B51" s="5"/>
      <c r="C51" s="5"/>
      <c r="D51" s="5"/>
      <c r="E51" s="5"/>
      <c r="F51" s="5"/>
      <c r="G51" s="5"/>
      <c r="H51" s="5"/>
      <c r="I51" s="5"/>
      <c r="J51" s="5"/>
      <c r="K51" s="5"/>
      <c r="L51" s="5"/>
    </row>
    <row r="52" spans="1:12" ht="28.4" customHeight="1" x14ac:dyDescent="0.3">
      <c r="A52" s="5"/>
      <c r="B52" s="118" t="s">
        <v>13</v>
      </c>
      <c r="C52" s="119"/>
      <c r="D52" s="119"/>
      <c r="E52" s="119"/>
      <c r="F52" s="119"/>
      <c r="G52" s="119"/>
      <c r="H52" s="119"/>
      <c r="I52" s="119"/>
      <c r="J52" s="119"/>
      <c r="K52" s="119"/>
      <c r="L52" s="120"/>
    </row>
    <row r="53" spans="1:12" ht="28.4" customHeight="1" x14ac:dyDescent="0.3">
      <c r="A53" s="5"/>
      <c r="B53" s="121"/>
      <c r="C53" s="122"/>
      <c r="D53" s="122"/>
      <c r="E53" s="122"/>
      <c r="F53" s="122"/>
      <c r="G53" s="122"/>
      <c r="H53" s="122"/>
      <c r="I53" s="122"/>
      <c r="J53" s="122"/>
      <c r="K53" s="122"/>
      <c r="L53" s="123"/>
    </row>
    <row r="54" spans="1:12" ht="18" customHeight="1" x14ac:dyDescent="0.3">
      <c r="A54" s="5"/>
      <c r="B54" s="124" t="s">
        <v>6</v>
      </c>
      <c r="C54" s="5"/>
      <c r="D54" s="5"/>
      <c r="E54" s="5"/>
      <c r="F54" s="5"/>
      <c r="G54" s="5"/>
      <c r="H54" s="5"/>
      <c r="I54" s="5"/>
      <c r="J54" s="5"/>
      <c r="K54" s="5"/>
      <c r="L54" s="16"/>
    </row>
    <row r="55" spans="1:12" ht="17.149999999999999" customHeight="1" x14ac:dyDescent="0.3">
      <c r="A55" s="5"/>
      <c r="B55" s="125"/>
      <c r="C55" s="8"/>
      <c r="D55" s="9"/>
      <c r="E55" s="115" t="s">
        <v>3</v>
      </c>
      <c r="F55" s="116"/>
      <c r="G55" s="117"/>
      <c r="H55" s="7" t="s">
        <v>4</v>
      </c>
      <c r="I55" s="115" t="s">
        <v>5</v>
      </c>
      <c r="J55" s="116"/>
      <c r="K55" s="117"/>
      <c r="L55" s="17" t="s">
        <v>4</v>
      </c>
    </row>
    <row r="56" spans="1:12" ht="5.15" customHeight="1" x14ac:dyDescent="0.3">
      <c r="A56" s="5"/>
      <c r="B56" s="125"/>
      <c r="C56" s="112"/>
      <c r="D56" s="5"/>
      <c r="E56" s="18"/>
      <c r="F56" s="18"/>
      <c r="G56" s="18"/>
      <c r="H56" s="12"/>
      <c r="I56" s="18"/>
      <c r="J56" s="18"/>
      <c r="K56" s="18"/>
      <c r="L56" s="16"/>
    </row>
    <row r="57" spans="1:12" ht="15.75" customHeight="1" x14ac:dyDescent="0.3">
      <c r="A57" s="5"/>
      <c r="B57" s="125"/>
      <c r="C57" s="113"/>
      <c r="D57" s="19" t="s">
        <v>14</v>
      </c>
      <c r="E57" s="18"/>
      <c r="F57" s="20">
        <v>10000</v>
      </c>
      <c r="G57" s="18"/>
      <c r="H57" s="13" t="s">
        <v>8</v>
      </c>
      <c r="I57" s="18"/>
      <c r="J57" s="21" t="s">
        <v>9</v>
      </c>
      <c r="K57" s="18"/>
      <c r="L57" s="22" t="s">
        <v>8</v>
      </c>
    </row>
    <row r="58" spans="1:12" ht="5.15" customHeight="1" x14ac:dyDescent="0.3">
      <c r="A58" s="5"/>
      <c r="B58" s="125"/>
      <c r="C58" s="114"/>
      <c r="D58" s="10"/>
      <c r="E58" s="11"/>
      <c r="F58" s="11"/>
      <c r="G58" s="11"/>
      <c r="H58" s="9"/>
      <c r="I58" s="11"/>
      <c r="J58" s="11"/>
      <c r="K58" s="11"/>
      <c r="L58" s="23"/>
    </row>
    <row r="59" spans="1:12" ht="5.15" customHeight="1" x14ac:dyDescent="0.3">
      <c r="A59" s="5"/>
      <c r="B59" s="125"/>
      <c r="C59" s="113"/>
      <c r="D59" s="5"/>
      <c r="E59" s="18"/>
      <c r="F59" s="18"/>
      <c r="G59" s="18"/>
      <c r="H59" s="14"/>
      <c r="I59" s="18"/>
      <c r="J59" s="18"/>
      <c r="K59" s="18"/>
      <c r="L59" s="16"/>
    </row>
    <row r="60" spans="1:12" ht="15.75" customHeight="1" x14ac:dyDescent="0.3">
      <c r="A60" s="5"/>
      <c r="B60" s="125"/>
      <c r="C60" s="113"/>
      <c r="D60" s="19" t="s">
        <v>15</v>
      </c>
      <c r="E60" s="18"/>
      <c r="F60" s="20">
        <v>10000</v>
      </c>
      <c r="G60" s="18"/>
      <c r="H60" s="13" t="s">
        <v>8</v>
      </c>
      <c r="I60" s="18"/>
      <c r="J60" s="21" t="s">
        <v>9</v>
      </c>
      <c r="K60" s="18"/>
      <c r="L60" s="22" t="s">
        <v>8</v>
      </c>
    </row>
    <row r="61" spans="1:12" ht="5.15" customHeight="1" x14ac:dyDescent="0.3">
      <c r="A61" s="5"/>
      <c r="B61" s="125"/>
      <c r="C61" s="114"/>
      <c r="D61" s="10"/>
      <c r="E61" s="11"/>
      <c r="F61" s="11"/>
      <c r="G61" s="11"/>
      <c r="H61" s="9"/>
      <c r="I61" s="11"/>
      <c r="J61" s="11"/>
      <c r="K61" s="11"/>
      <c r="L61" s="23"/>
    </row>
    <row r="62" spans="1:12" ht="5.15" customHeight="1" x14ac:dyDescent="0.3">
      <c r="A62" s="5"/>
      <c r="B62" s="125"/>
      <c r="C62" s="113"/>
      <c r="D62" s="5"/>
      <c r="E62" s="18"/>
      <c r="F62" s="18"/>
      <c r="G62" s="18"/>
      <c r="H62" s="14"/>
      <c r="I62" s="18"/>
      <c r="J62" s="18"/>
      <c r="K62" s="18"/>
      <c r="L62" s="16"/>
    </row>
    <row r="63" spans="1:12" ht="15.75" customHeight="1" x14ac:dyDescent="0.3">
      <c r="A63" s="5"/>
      <c r="B63" s="125"/>
      <c r="C63" s="113"/>
      <c r="D63" s="19" t="s">
        <v>16</v>
      </c>
      <c r="E63" s="18"/>
      <c r="F63" s="20">
        <v>10000</v>
      </c>
      <c r="G63" s="18"/>
      <c r="H63" s="13" t="s">
        <v>8</v>
      </c>
      <c r="I63" s="18"/>
      <c r="J63" s="21" t="s">
        <v>9</v>
      </c>
      <c r="K63" s="18"/>
      <c r="L63" s="22" t="s">
        <v>8</v>
      </c>
    </row>
    <row r="64" spans="1:12" ht="5.15" customHeight="1" x14ac:dyDescent="0.3">
      <c r="A64" s="5"/>
      <c r="B64" s="125"/>
      <c r="C64" s="114"/>
      <c r="D64" s="10"/>
      <c r="E64" s="11"/>
      <c r="F64" s="11"/>
      <c r="G64" s="11"/>
      <c r="H64" s="9"/>
      <c r="I64" s="11"/>
      <c r="J64" s="11"/>
      <c r="K64" s="11"/>
      <c r="L64" s="23"/>
    </row>
    <row r="65" spans="1:12" ht="5.15" customHeight="1" x14ac:dyDescent="0.3">
      <c r="A65" s="5"/>
      <c r="B65" s="125"/>
      <c r="C65" s="113"/>
      <c r="D65" s="5"/>
      <c r="E65" s="18"/>
      <c r="F65" s="18"/>
      <c r="G65" s="18"/>
      <c r="H65" s="14"/>
      <c r="I65" s="18"/>
      <c r="J65" s="18"/>
      <c r="K65" s="18"/>
      <c r="L65" s="16"/>
    </row>
    <row r="66" spans="1:12" ht="15.75" customHeight="1" x14ac:dyDescent="0.35">
      <c r="A66" s="5"/>
      <c r="B66" s="125"/>
      <c r="C66" s="113"/>
      <c r="D66" s="19" t="s">
        <v>17</v>
      </c>
      <c r="E66" s="18"/>
      <c r="F66" s="85">
        <v>10000</v>
      </c>
      <c r="G66" s="18"/>
      <c r="H66" s="13" t="s">
        <v>8</v>
      </c>
      <c r="I66" s="18"/>
      <c r="J66" s="21" t="s">
        <v>9</v>
      </c>
      <c r="K66" s="18"/>
      <c r="L66" s="22"/>
    </row>
    <row r="67" spans="1:12" ht="5.15" customHeight="1" x14ac:dyDescent="0.3">
      <c r="A67" s="5"/>
      <c r="B67" s="125"/>
      <c r="C67" s="114"/>
      <c r="D67" s="10"/>
      <c r="E67" s="11"/>
      <c r="F67" s="11"/>
      <c r="G67" s="11"/>
      <c r="H67" s="9"/>
      <c r="I67" s="11"/>
      <c r="J67" s="11"/>
      <c r="K67" s="11"/>
      <c r="L67" s="23"/>
    </row>
    <row r="68" spans="1:12" ht="5.15" customHeight="1" x14ac:dyDescent="0.3">
      <c r="A68" s="5"/>
      <c r="B68" s="125"/>
      <c r="C68" s="113"/>
      <c r="D68" s="5"/>
      <c r="E68" s="18"/>
      <c r="F68" s="18"/>
      <c r="G68" s="18"/>
      <c r="H68" s="14"/>
      <c r="I68" s="18"/>
      <c r="J68" s="18"/>
      <c r="K68" s="18"/>
      <c r="L68" s="16"/>
    </row>
    <row r="69" spans="1:12" ht="15.75" customHeight="1" x14ac:dyDescent="0.3">
      <c r="A69" s="5"/>
      <c r="B69" s="125"/>
      <c r="C69" s="113"/>
      <c r="D69" s="19" t="s">
        <v>18</v>
      </c>
      <c r="E69" s="18"/>
      <c r="F69" s="20">
        <v>10000</v>
      </c>
      <c r="G69" s="18"/>
      <c r="H69" s="13" t="s">
        <v>8</v>
      </c>
      <c r="I69" s="18"/>
      <c r="J69" s="21" t="s">
        <v>9</v>
      </c>
      <c r="K69" s="18"/>
      <c r="L69" s="22" t="s">
        <v>8</v>
      </c>
    </row>
    <row r="70" spans="1:12" ht="5.15" customHeight="1" x14ac:dyDescent="0.3">
      <c r="A70" s="5"/>
      <c r="B70" s="125"/>
      <c r="C70" s="114"/>
      <c r="D70" s="10"/>
      <c r="E70" s="11"/>
      <c r="F70" s="11"/>
      <c r="G70" s="11"/>
      <c r="H70" s="9"/>
      <c r="I70" s="11"/>
      <c r="J70" s="11"/>
      <c r="K70" s="11"/>
      <c r="L70" s="23"/>
    </row>
    <row r="71" spans="1:12" ht="5.15" customHeight="1" x14ac:dyDescent="0.3">
      <c r="A71" s="5"/>
      <c r="B71" s="125"/>
      <c r="C71" s="113"/>
      <c r="D71" s="5"/>
      <c r="E71" s="18"/>
      <c r="F71" s="18"/>
      <c r="G71" s="18"/>
      <c r="H71" s="14"/>
      <c r="I71" s="18"/>
      <c r="J71" s="18"/>
      <c r="K71" s="18"/>
      <c r="L71" s="16"/>
    </row>
    <row r="72" spans="1:12" ht="15.75" customHeight="1" x14ac:dyDescent="0.3">
      <c r="A72" s="5"/>
      <c r="B72" s="125"/>
      <c r="C72" s="113"/>
      <c r="D72" s="19" t="s">
        <v>19</v>
      </c>
      <c r="E72" s="18"/>
      <c r="F72" s="18"/>
      <c r="G72" s="18"/>
      <c r="H72" s="14"/>
      <c r="I72" s="18"/>
      <c r="J72" s="18"/>
      <c r="K72" s="18"/>
      <c r="L72" s="16"/>
    </row>
    <row r="73" spans="1:12" ht="5.15" customHeight="1" x14ac:dyDescent="0.3">
      <c r="A73" s="5"/>
      <c r="B73" s="125"/>
      <c r="C73" s="15"/>
      <c r="D73" s="19"/>
      <c r="E73" s="18"/>
      <c r="F73" s="18"/>
      <c r="G73" s="18"/>
      <c r="H73" s="14"/>
      <c r="I73" s="18"/>
      <c r="J73" s="18"/>
      <c r="K73" s="18"/>
      <c r="L73" s="16"/>
    </row>
    <row r="74" spans="1:12" ht="15.75" customHeight="1" x14ac:dyDescent="0.35">
      <c r="A74" s="5"/>
      <c r="B74" s="125"/>
      <c r="C74" s="15"/>
      <c r="D74" s="46" t="s">
        <v>143</v>
      </c>
      <c r="E74" s="18"/>
      <c r="F74" s="85">
        <v>10000</v>
      </c>
      <c r="G74" s="18"/>
      <c r="H74" s="13"/>
      <c r="I74" s="18"/>
      <c r="J74" s="21" t="s">
        <v>9</v>
      </c>
      <c r="K74" s="18"/>
      <c r="L74" s="22"/>
    </row>
    <row r="75" spans="1:12" ht="5.15" customHeight="1" x14ac:dyDescent="0.3">
      <c r="A75" s="5"/>
      <c r="B75" s="125"/>
      <c r="C75" s="15"/>
      <c r="D75" s="48"/>
      <c r="E75" s="11"/>
      <c r="F75" s="11"/>
      <c r="G75" s="11"/>
      <c r="H75" s="9"/>
      <c r="I75" s="11"/>
      <c r="J75" s="11"/>
      <c r="K75" s="11"/>
      <c r="L75" s="23"/>
    </row>
    <row r="76" spans="1:12" ht="5.15" customHeight="1" x14ac:dyDescent="0.3">
      <c r="A76" s="5"/>
      <c r="B76" s="125"/>
      <c r="C76" s="15"/>
      <c r="D76" s="19"/>
      <c r="E76" s="18"/>
      <c r="F76" s="18"/>
      <c r="G76" s="18"/>
      <c r="H76" s="14"/>
      <c r="I76" s="18"/>
      <c r="J76" s="18"/>
      <c r="K76" s="18"/>
      <c r="L76" s="16"/>
    </row>
    <row r="77" spans="1:12" ht="15.75" customHeight="1" x14ac:dyDescent="0.35">
      <c r="A77" s="5"/>
      <c r="B77" s="125"/>
      <c r="C77" s="15"/>
      <c r="D77" s="46" t="s">
        <v>144</v>
      </c>
      <c r="E77" s="18"/>
      <c r="F77" s="85">
        <v>10000</v>
      </c>
      <c r="G77" s="18"/>
      <c r="H77" s="13"/>
      <c r="I77" s="18"/>
      <c r="J77" s="21" t="s">
        <v>9</v>
      </c>
      <c r="K77" s="18"/>
      <c r="L77" s="22"/>
    </row>
    <row r="78" spans="1:12" ht="5.15" customHeight="1" x14ac:dyDescent="0.3">
      <c r="A78" s="5"/>
      <c r="B78" s="125"/>
      <c r="C78" s="15"/>
      <c r="D78" s="48"/>
      <c r="E78" s="11"/>
      <c r="F78" s="11"/>
      <c r="G78" s="11"/>
      <c r="H78" s="9"/>
      <c r="I78" s="11"/>
      <c r="J78" s="11"/>
      <c r="K78" s="11"/>
      <c r="L78" s="23"/>
    </row>
    <row r="79" spans="1:12" ht="5.15" customHeight="1" x14ac:dyDescent="0.3">
      <c r="A79" s="5"/>
      <c r="B79" s="125"/>
      <c r="C79" s="15"/>
      <c r="D79" s="19"/>
      <c r="E79" s="18"/>
      <c r="F79" s="18"/>
      <c r="G79" s="18"/>
      <c r="H79" s="14"/>
      <c r="I79" s="18"/>
      <c r="J79" s="18"/>
      <c r="K79" s="18"/>
      <c r="L79" s="16"/>
    </row>
    <row r="80" spans="1:12" ht="15.75" customHeight="1" x14ac:dyDescent="0.35">
      <c r="A80" s="5"/>
      <c r="B80" s="125"/>
      <c r="C80" s="15"/>
      <c r="D80" s="46" t="s">
        <v>173</v>
      </c>
      <c r="E80" s="18"/>
      <c r="F80" s="85">
        <v>10000</v>
      </c>
      <c r="G80" s="18"/>
      <c r="H80" s="13" t="s">
        <v>8</v>
      </c>
      <c r="I80" s="18"/>
      <c r="J80" s="21" t="s">
        <v>9</v>
      </c>
      <c r="K80" s="18"/>
      <c r="L80" s="22"/>
    </row>
    <row r="81" spans="1:12" ht="5.15" customHeight="1" x14ac:dyDescent="0.3">
      <c r="A81" s="5"/>
      <c r="B81" s="125"/>
      <c r="C81" s="15"/>
      <c r="D81" s="48"/>
      <c r="E81" s="11"/>
      <c r="F81" s="11"/>
      <c r="G81" s="11"/>
      <c r="H81" s="9"/>
      <c r="I81" s="11"/>
      <c r="J81" s="11"/>
      <c r="K81" s="11"/>
      <c r="L81" s="23"/>
    </row>
    <row r="82" spans="1:12" ht="5.15" customHeight="1" x14ac:dyDescent="0.3">
      <c r="A82" s="5"/>
      <c r="B82" s="125"/>
      <c r="C82" s="15"/>
      <c r="D82" s="19"/>
      <c r="E82" s="18"/>
      <c r="F82" s="18"/>
      <c r="G82" s="18"/>
      <c r="H82" s="14"/>
      <c r="I82" s="18"/>
      <c r="J82" s="18"/>
      <c r="K82" s="18"/>
      <c r="L82" s="16"/>
    </row>
    <row r="83" spans="1:12" ht="15.75" customHeight="1" x14ac:dyDescent="0.35">
      <c r="A83" s="5"/>
      <c r="B83" s="125"/>
      <c r="C83" s="15"/>
      <c r="D83" s="46" t="s">
        <v>174</v>
      </c>
      <c r="E83" s="18"/>
      <c r="F83" s="85">
        <v>10000</v>
      </c>
      <c r="G83" s="18"/>
      <c r="H83" s="13" t="s">
        <v>8</v>
      </c>
      <c r="I83" s="18"/>
      <c r="J83" s="21" t="s">
        <v>9</v>
      </c>
      <c r="K83" s="18"/>
      <c r="L83" s="22"/>
    </row>
    <row r="84" spans="1:12" ht="5.15" customHeight="1" x14ac:dyDescent="0.3">
      <c r="A84" s="5"/>
      <c r="B84" s="125"/>
      <c r="C84" s="15"/>
      <c r="D84" s="48"/>
      <c r="E84" s="11"/>
      <c r="F84" s="11"/>
      <c r="G84" s="11"/>
      <c r="H84" s="9"/>
      <c r="I84" s="11"/>
      <c r="J84" s="11"/>
      <c r="K84" s="11"/>
      <c r="L84" s="23"/>
    </row>
    <row r="85" spans="1:12" ht="22" customHeight="1" x14ac:dyDescent="0.3">
      <c r="A85" s="5"/>
      <c r="B85" s="125"/>
      <c r="C85" s="15"/>
      <c r="D85" s="5"/>
      <c r="E85" s="5"/>
      <c r="F85" s="5"/>
      <c r="G85" s="5"/>
      <c r="H85" s="14"/>
      <c r="I85" s="5"/>
      <c r="J85" s="5"/>
      <c r="K85" s="5"/>
      <c r="L85" s="16"/>
    </row>
    <row r="86" spans="1:12" ht="5.15" customHeight="1" thickBot="1" x14ac:dyDescent="0.35">
      <c r="A86" s="5"/>
      <c r="B86" s="132"/>
      <c r="C86" s="27"/>
      <c r="D86" s="28"/>
      <c r="E86" s="28"/>
      <c r="F86" s="28"/>
      <c r="G86" s="28"/>
      <c r="H86" s="32"/>
      <c r="I86" s="28"/>
      <c r="J86" s="28"/>
      <c r="K86" s="28"/>
      <c r="L86" s="29"/>
    </row>
    <row r="87" spans="1:12" ht="15.75" customHeight="1" x14ac:dyDescent="0.3">
      <c r="A87" s="5"/>
      <c r="B87" s="136" t="s">
        <v>12</v>
      </c>
      <c r="C87" s="30"/>
      <c r="D87" s="30"/>
      <c r="E87" s="30"/>
      <c r="F87" s="30"/>
      <c r="G87" s="30"/>
      <c r="H87" s="30"/>
      <c r="I87" s="30"/>
      <c r="J87" s="30"/>
      <c r="K87" s="30"/>
      <c r="L87" s="31"/>
    </row>
    <row r="88" spans="1:12" ht="18" customHeight="1" x14ac:dyDescent="0.3">
      <c r="A88" s="5"/>
      <c r="B88" s="125"/>
      <c r="C88" s="8"/>
      <c r="D88" s="9"/>
      <c r="E88" s="115" t="s">
        <v>3</v>
      </c>
      <c r="F88" s="116"/>
      <c r="G88" s="117"/>
      <c r="H88" s="7" t="s">
        <v>4</v>
      </c>
      <c r="I88" s="115" t="s">
        <v>5</v>
      </c>
      <c r="J88" s="116"/>
      <c r="K88" s="117"/>
      <c r="L88" s="17" t="s">
        <v>4</v>
      </c>
    </row>
    <row r="89" spans="1:12" ht="5.15" customHeight="1" x14ac:dyDescent="0.3">
      <c r="A89" s="5"/>
      <c r="B89" s="125"/>
      <c r="C89" s="112"/>
      <c r="D89" s="5"/>
      <c r="E89" s="18"/>
      <c r="F89" s="18"/>
      <c r="G89" s="18"/>
      <c r="H89" s="12"/>
      <c r="I89" s="18"/>
      <c r="J89" s="18"/>
      <c r="K89" s="18"/>
      <c r="L89" s="16"/>
    </row>
    <row r="90" spans="1:12" ht="15.75" customHeight="1" x14ac:dyDescent="0.3">
      <c r="A90" s="5"/>
      <c r="B90" s="125"/>
      <c r="C90" s="113"/>
      <c r="D90" s="19" t="s">
        <v>14</v>
      </c>
      <c r="E90" s="18"/>
      <c r="F90" s="20">
        <v>10000</v>
      </c>
      <c r="G90" s="18"/>
      <c r="H90" s="13" t="s">
        <v>8</v>
      </c>
      <c r="I90" s="18"/>
      <c r="J90" s="21" t="s">
        <v>9</v>
      </c>
      <c r="K90" s="18"/>
      <c r="L90" s="22" t="s">
        <v>8</v>
      </c>
    </row>
    <row r="91" spans="1:12" ht="5.15" customHeight="1" x14ac:dyDescent="0.3">
      <c r="A91" s="5"/>
      <c r="B91" s="125"/>
      <c r="C91" s="114"/>
      <c r="D91" s="10"/>
      <c r="E91" s="11"/>
      <c r="F91" s="11"/>
      <c r="G91" s="11"/>
      <c r="H91" s="9"/>
      <c r="I91" s="11"/>
      <c r="J91" s="11"/>
      <c r="K91" s="11"/>
      <c r="L91" s="23"/>
    </row>
    <row r="92" spans="1:12" ht="5.15" customHeight="1" x14ac:dyDescent="0.3">
      <c r="A92" s="5"/>
      <c r="B92" s="125"/>
      <c r="C92" s="113"/>
      <c r="D92" s="5"/>
      <c r="E92" s="18"/>
      <c r="F92" s="18"/>
      <c r="G92" s="18"/>
      <c r="H92" s="14"/>
      <c r="I92" s="18"/>
      <c r="J92" s="18"/>
      <c r="K92" s="18"/>
      <c r="L92" s="16"/>
    </row>
    <row r="93" spans="1:12" ht="15.75" customHeight="1" x14ac:dyDescent="0.3">
      <c r="A93" s="5"/>
      <c r="B93" s="125"/>
      <c r="C93" s="113"/>
      <c r="D93" s="19" t="s">
        <v>15</v>
      </c>
      <c r="E93" s="18"/>
      <c r="F93" s="20">
        <v>10000</v>
      </c>
      <c r="G93" s="18"/>
      <c r="H93" s="13" t="s">
        <v>8</v>
      </c>
      <c r="I93" s="18"/>
      <c r="J93" s="21" t="s">
        <v>9</v>
      </c>
      <c r="K93" s="18"/>
      <c r="L93" s="22" t="s">
        <v>8</v>
      </c>
    </row>
    <row r="94" spans="1:12" ht="5.15" customHeight="1" x14ac:dyDescent="0.3">
      <c r="A94" s="5"/>
      <c r="B94" s="125"/>
      <c r="C94" s="114"/>
      <c r="D94" s="10"/>
      <c r="E94" s="11"/>
      <c r="F94" s="11"/>
      <c r="G94" s="11"/>
      <c r="H94" s="9"/>
      <c r="I94" s="11"/>
      <c r="J94" s="11"/>
      <c r="K94" s="11"/>
      <c r="L94" s="23"/>
    </row>
    <row r="95" spans="1:12" ht="5.15" customHeight="1" x14ac:dyDescent="0.3">
      <c r="A95" s="5"/>
      <c r="B95" s="125"/>
      <c r="C95" s="113"/>
      <c r="D95" s="5"/>
      <c r="E95" s="18"/>
      <c r="F95" s="18"/>
      <c r="G95" s="18"/>
      <c r="H95" s="14"/>
      <c r="I95" s="18"/>
      <c r="J95" s="18"/>
      <c r="K95" s="18"/>
      <c r="L95" s="16"/>
    </row>
    <row r="96" spans="1:12" ht="15.75" customHeight="1" x14ac:dyDescent="0.3">
      <c r="A96" s="5"/>
      <c r="B96" s="125"/>
      <c r="C96" s="113"/>
      <c r="D96" s="19" t="s">
        <v>16</v>
      </c>
      <c r="E96" s="18"/>
      <c r="F96" s="20">
        <v>10000</v>
      </c>
      <c r="G96" s="18"/>
      <c r="H96" s="13" t="s">
        <v>8</v>
      </c>
      <c r="I96" s="18"/>
      <c r="J96" s="21" t="s">
        <v>9</v>
      </c>
      <c r="K96" s="18"/>
      <c r="L96" s="22" t="s">
        <v>8</v>
      </c>
    </row>
    <row r="97" spans="1:12" ht="5.15" customHeight="1" x14ac:dyDescent="0.3">
      <c r="A97" s="5"/>
      <c r="B97" s="125"/>
      <c r="C97" s="114"/>
      <c r="D97" s="10"/>
      <c r="E97" s="11"/>
      <c r="F97" s="11"/>
      <c r="G97" s="11"/>
      <c r="H97" s="9"/>
      <c r="I97" s="11"/>
      <c r="J97" s="11"/>
      <c r="K97" s="11"/>
      <c r="L97" s="23"/>
    </row>
    <row r="98" spans="1:12" ht="5.15" customHeight="1" x14ac:dyDescent="0.3">
      <c r="A98" s="5"/>
      <c r="B98" s="125"/>
      <c r="C98" s="113"/>
      <c r="D98" s="5"/>
      <c r="E98" s="18"/>
      <c r="F98" s="18"/>
      <c r="G98" s="18"/>
      <c r="H98" s="14"/>
      <c r="I98" s="18"/>
      <c r="J98" s="18"/>
      <c r="K98" s="18"/>
      <c r="L98" s="16"/>
    </row>
    <row r="99" spans="1:12" ht="15.75" customHeight="1" x14ac:dyDescent="0.3">
      <c r="A99" s="5"/>
      <c r="B99" s="125"/>
      <c r="C99" s="113"/>
      <c r="D99" s="19" t="s">
        <v>17</v>
      </c>
      <c r="E99" s="18"/>
      <c r="F99" s="20">
        <v>10000</v>
      </c>
      <c r="G99" s="18"/>
      <c r="H99" s="13" t="s">
        <v>8</v>
      </c>
      <c r="I99" s="18"/>
      <c r="J99" s="21" t="s">
        <v>9</v>
      </c>
      <c r="K99" s="18"/>
      <c r="L99" s="22" t="s">
        <v>8</v>
      </c>
    </row>
    <row r="100" spans="1:12" ht="5.15" customHeight="1" x14ac:dyDescent="0.3">
      <c r="A100" s="5"/>
      <c r="B100" s="125"/>
      <c r="C100" s="114"/>
      <c r="D100" s="10"/>
      <c r="E100" s="11"/>
      <c r="F100" s="11"/>
      <c r="G100" s="11"/>
      <c r="H100" s="9"/>
      <c r="I100" s="11"/>
      <c r="J100" s="11"/>
      <c r="K100" s="11"/>
      <c r="L100" s="23"/>
    </row>
    <row r="101" spans="1:12" ht="5.15" customHeight="1" x14ac:dyDescent="0.3">
      <c r="A101" s="5"/>
      <c r="B101" s="125"/>
      <c r="C101" s="113"/>
      <c r="D101" s="5"/>
      <c r="E101" s="18"/>
      <c r="F101" s="18"/>
      <c r="G101" s="18"/>
      <c r="H101" s="14"/>
      <c r="I101" s="18"/>
      <c r="J101" s="18"/>
      <c r="K101" s="18"/>
      <c r="L101" s="16"/>
    </row>
    <row r="102" spans="1:12" ht="15.75" customHeight="1" x14ac:dyDescent="0.3">
      <c r="A102" s="5"/>
      <c r="B102" s="125"/>
      <c r="C102" s="113"/>
      <c r="D102" s="19" t="s">
        <v>18</v>
      </c>
      <c r="E102" s="18"/>
      <c r="F102" s="20">
        <v>10000</v>
      </c>
      <c r="G102" s="18"/>
      <c r="H102" s="13" t="s">
        <v>8</v>
      </c>
      <c r="I102" s="18"/>
      <c r="J102" s="21" t="s">
        <v>9</v>
      </c>
      <c r="K102" s="18"/>
      <c r="L102" s="22" t="s">
        <v>8</v>
      </c>
    </row>
    <row r="103" spans="1:12" ht="5.15" customHeight="1" x14ac:dyDescent="0.3">
      <c r="A103" s="5"/>
      <c r="B103" s="125"/>
      <c r="C103" s="114"/>
      <c r="D103" s="10"/>
      <c r="E103" s="11"/>
      <c r="F103" s="11"/>
      <c r="G103" s="11"/>
      <c r="H103" s="9"/>
      <c r="I103" s="11"/>
      <c r="J103" s="11"/>
      <c r="K103" s="11"/>
      <c r="L103" s="23"/>
    </row>
    <row r="104" spans="1:12" ht="5.15" customHeight="1" x14ac:dyDescent="0.3">
      <c r="A104" s="5"/>
      <c r="B104" s="125"/>
      <c r="C104" s="113"/>
      <c r="D104" s="5"/>
      <c r="E104" s="18"/>
      <c r="F104" s="18"/>
      <c r="G104" s="18"/>
      <c r="H104" s="14"/>
      <c r="I104" s="18"/>
      <c r="J104" s="18"/>
      <c r="K104" s="18"/>
      <c r="L104" s="16"/>
    </row>
    <row r="105" spans="1:12" ht="15.75" customHeight="1" x14ac:dyDescent="0.3">
      <c r="A105" s="5"/>
      <c r="B105" s="125"/>
      <c r="C105" s="113"/>
      <c r="D105" s="19" t="s">
        <v>19</v>
      </c>
      <c r="E105" s="18"/>
      <c r="F105" s="18"/>
      <c r="G105" s="18"/>
      <c r="H105" s="14"/>
      <c r="I105" s="18"/>
      <c r="J105" s="18"/>
      <c r="K105" s="18"/>
      <c r="L105" s="16"/>
    </row>
    <row r="106" spans="1:12" ht="22" customHeight="1" x14ac:dyDescent="0.3">
      <c r="A106" s="5"/>
      <c r="B106" s="125"/>
      <c r="C106" s="15"/>
      <c r="D106" s="5"/>
      <c r="E106" s="5"/>
      <c r="F106" s="5"/>
      <c r="G106" s="5"/>
      <c r="H106" s="14"/>
      <c r="I106" s="5"/>
      <c r="J106" s="5"/>
      <c r="K106" s="5"/>
      <c r="L106" s="16"/>
    </row>
    <row r="107" spans="1:12" ht="5.15" customHeight="1" thickBot="1" x14ac:dyDescent="0.35">
      <c r="A107" s="5"/>
      <c r="B107" s="132"/>
      <c r="C107" s="27"/>
      <c r="D107" s="28"/>
      <c r="E107" s="28"/>
      <c r="F107" s="28"/>
      <c r="G107" s="28"/>
      <c r="H107" s="32"/>
      <c r="I107" s="28"/>
      <c r="J107" s="28"/>
      <c r="K107" s="28"/>
      <c r="L107" s="29"/>
    </row>
    <row r="108" spans="1:12" ht="24.65" customHeight="1" x14ac:dyDescent="0.3">
      <c r="A108" s="5"/>
      <c r="B108" s="5"/>
      <c r="C108" s="5"/>
      <c r="D108" s="5"/>
      <c r="E108" s="5"/>
      <c r="F108" s="5"/>
      <c r="G108" s="5"/>
      <c r="H108" s="5"/>
      <c r="I108" s="5"/>
      <c r="J108" s="5"/>
      <c r="K108" s="5"/>
      <c r="L108" s="5"/>
    </row>
    <row r="109" spans="1:12" ht="14.5" thickBot="1" x14ac:dyDescent="0.35">
      <c r="A109" s="5"/>
      <c r="B109" s="5"/>
      <c r="C109" s="5"/>
      <c r="D109" s="5"/>
      <c r="E109" s="5"/>
      <c r="F109" s="5"/>
      <c r="G109" s="5"/>
      <c r="H109" s="5"/>
      <c r="I109" s="5"/>
      <c r="J109" s="5"/>
      <c r="K109" s="5"/>
      <c r="L109" s="5"/>
    </row>
    <row r="110" spans="1:12" ht="28.4" customHeight="1" x14ac:dyDescent="0.3">
      <c r="A110" s="5"/>
      <c r="B110" s="118" t="s">
        <v>20</v>
      </c>
      <c r="C110" s="119"/>
      <c r="D110" s="119"/>
      <c r="E110" s="119"/>
      <c r="F110" s="119"/>
      <c r="G110" s="119"/>
      <c r="H110" s="119"/>
      <c r="I110" s="119"/>
      <c r="J110" s="119"/>
      <c r="K110" s="119"/>
      <c r="L110" s="120"/>
    </row>
    <row r="111" spans="1:12" ht="28.4" customHeight="1" x14ac:dyDescent="0.3">
      <c r="A111" s="5"/>
      <c r="B111" s="121"/>
      <c r="C111" s="122"/>
      <c r="D111" s="122"/>
      <c r="E111" s="122"/>
      <c r="F111" s="122"/>
      <c r="G111" s="122"/>
      <c r="H111" s="122"/>
      <c r="I111" s="122"/>
      <c r="J111" s="122"/>
      <c r="K111" s="122"/>
      <c r="L111" s="123"/>
    </row>
    <row r="112" spans="1:12" ht="21.75" customHeight="1" x14ac:dyDescent="0.3">
      <c r="A112" s="5"/>
      <c r="B112" s="124" t="s">
        <v>6</v>
      </c>
      <c r="C112" s="5"/>
      <c r="D112" s="5"/>
      <c r="E112" s="5"/>
      <c r="F112" s="5"/>
      <c r="G112" s="5"/>
      <c r="H112" s="5"/>
      <c r="I112" s="5"/>
      <c r="J112" s="5"/>
      <c r="K112" s="5"/>
      <c r="L112" s="16"/>
    </row>
    <row r="113" spans="1:12" ht="18" customHeight="1" x14ac:dyDescent="0.3">
      <c r="A113" s="5"/>
      <c r="B113" s="125"/>
      <c r="C113" s="8"/>
      <c r="D113" s="9"/>
      <c r="E113" s="115" t="s">
        <v>3</v>
      </c>
      <c r="F113" s="116"/>
      <c r="G113" s="117"/>
      <c r="H113" s="7" t="s">
        <v>4</v>
      </c>
      <c r="I113" s="115" t="s">
        <v>5</v>
      </c>
      <c r="J113" s="116"/>
      <c r="K113" s="117"/>
      <c r="L113" s="17" t="s">
        <v>4</v>
      </c>
    </row>
    <row r="114" spans="1:12" ht="5.15" customHeight="1" x14ac:dyDescent="0.3">
      <c r="A114" s="5"/>
      <c r="B114" s="125"/>
      <c r="C114" s="112"/>
      <c r="D114" s="5"/>
      <c r="E114" s="18"/>
      <c r="F114" s="18"/>
      <c r="G114" s="18"/>
      <c r="H114" s="12"/>
      <c r="I114" s="18"/>
      <c r="J114" s="18"/>
      <c r="K114" s="18"/>
      <c r="L114" s="16"/>
    </row>
    <row r="115" spans="1:12" ht="15.75" customHeight="1" x14ac:dyDescent="0.3">
      <c r="A115" s="5"/>
      <c r="B115" s="125"/>
      <c r="C115" s="113"/>
      <c r="D115" s="19" t="s">
        <v>21</v>
      </c>
      <c r="E115" s="18"/>
      <c r="F115" s="20">
        <v>10000</v>
      </c>
      <c r="G115" s="18"/>
      <c r="H115" s="13" t="s">
        <v>8</v>
      </c>
      <c r="I115" s="18"/>
      <c r="J115" s="21" t="s">
        <v>9</v>
      </c>
      <c r="K115" s="18"/>
      <c r="L115" s="22" t="s">
        <v>8</v>
      </c>
    </row>
    <row r="116" spans="1:12" ht="5.15" customHeight="1" x14ac:dyDescent="0.3">
      <c r="A116" s="5"/>
      <c r="B116" s="125"/>
      <c r="C116" s="114"/>
      <c r="D116" s="10"/>
      <c r="E116" s="11"/>
      <c r="F116" s="11"/>
      <c r="G116" s="11"/>
      <c r="H116" s="9"/>
      <c r="I116" s="11"/>
      <c r="J116" s="11"/>
      <c r="K116" s="11"/>
      <c r="L116" s="23"/>
    </row>
    <row r="117" spans="1:12" ht="5.15" customHeight="1" x14ac:dyDescent="0.3">
      <c r="A117" s="5"/>
      <c r="B117" s="125"/>
      <c r="C117" s="113"/>
      <c r="D117" s="5"/>
      <c r="E117" s="18"/>
      <c r="F117" s="18"/>
      <c r="G117" s="18"/>
      <c r="H117" s="14"/>
      <c r="I117" s="18"/>
      <c r="J117" s="18"/>
      <c r="K117" s="18"/>
      <c r="L117" s="16"/>
    </row>
    <row r="118" spans="1:12" ht="15.75" customHeight="1" x14ac:dyDescent="0.3">
      <c r="A118" s="5"/>
      <c r="B118" s="125"/>
      <c r="C118" s="113"/>
      <c r="D118" s="19" t="s">
        <v>22</v>
      </c>
      <c r="E118" s="18"/>
      <c r="F118" s="20">
        <v>10000</v>
      </c>
      <c r="G118" s="18"/>
      <c r="H118" s="13" t="s">
        <v>8</v>
      </c>
      <c r="I118" s="18"/>
      <c r="J118" s="21" t="s">
        <v>9</v>
      </c>
      <c r="K118" s="18"/>
      <c r="L118" s="22" t="s">
        <v>8</v>
      </c>
    </row>
    <row r="119" spans="1:12" ht="5.15" customHeight="1" x14ac:dyDescent="0.3">
      <c r="A119" s="5"/>
      <c r="B119" s="126"/>
      <c r="C119" s="114"/>
      <c r="D119" s="10"/>
      <c r="E119" s="11"/>
      <c r="F119" s="11"/>
      <c r="G119" s="11"/>
      <c r="H119" s="9"/>
      <c r="I119" s="11"/>
      <c r="J119" s="11"/>
      <c r="K119" s="11"/>
      <c r="L119" s="23"/>
    </row>
    <row r="120" spans="1:12" ht="21.75" customHeight="1" x14ac:dyDescent="0.3">
      <c r="A120" s="5"/>
      <c r="B120" s="124" t="s">
        <v>12</v>
      </c>
      <c r="C120" s="5"/>
      <c r="D120" s="5"/>
      <c r="E120" s="5"/>
      <c r="F120" s="5"/>
      <c r="G120" s="5"/>
      <c r="H120" s="5"/>
      <c r="I120" s="5"/>
      <c r="J120" s="5"/>
      <c r="K120" s="5"/>
      <c r="L120" s="16"/>
    </row>
    <row r="121" spans="1:12" ht="18" customHeight="1" x14ac:dyDescent="0.3">
      <c r="A121" s="5"/>
      <c r="B121" s="125"/>
      <c r="C121" s="8"/>
      <c r="D121" s="9"/>
      <c r="E121" s="115" t="s">
        <v>3</v>
      </c>
      <c r="F121" s="116"/>
      <c r="G121" s="117"/>
      <c r="H121" s="7" t="s">
        <v>4</v>
      </c>
      <c r="I121" s="115" t="s">
        <v>5</v>
      </c>
      <c r="J121" s="116"/>
      <c r="K121" s="117"/>
      <c r="L121" s="17" t="s">
        <v>4</v>
      </c>
    </row>
    <row r="122" spans="1:12" ht="5.15" customHeight="1" x14ac:dyDescent="0.3">
      <c r="A122" s="5"/>
      <c r="B122" s="125"/>
      <c r="C122" s="112"/>
      <c r="D122" s="5"/>
      <c r="E122" s="18"/>
      <c r="F122" s="18"/>
      <c r="G122" s="18"/>
      <c r="H122" s="12"/>
      <c r="I122" s="18"/>
      <c r="J122" s="18"/>
      <c r="K122" s="18"/>
      <c r="L122" s="16"/>
    </row>
    <row r="123" spans="1:12" ht="15.75" customHeight="1" x14ac:dyDescent="0.3">
      <c r="A123" s="5"/>
      <c r="B123" s="125"/>
      <c r="C123" s="113"/>
      <c r="D123" s="19" t="s">
        <v>21</v>
      </c>
      <c r="E123" s="18"/>
      <c r="F123" s="20">
        <v>10000</v>
      </c>
      <c r="G123" s="18"/>
      <c r="H123" s="13" t="s">
        <v>8</v>
      </c>
      <c r="I123" s="18"/>
      <c r="J123" s="21" t="s">
        <v>9</v>
      </c>
      <c r="K123" s="18"/>
      <c r="L123" s="22" t="s">
        <v>8</v>
      </c>
    </row>
    <row r="124" spans="1:12" ht="5.15" customHeight="1" x14ac:dyDescent="0.3">
      <c r="A124" s="5"/>
      <c r="B124" s="125"/>
      <c r="C124" s="114"/>
      <c r="D124" s="10"/>
      <c r="E124" s="11"/>
      <c r="F124" s="11"/>
      <c r="G124" s="11"/>
      <c r="H124" s="9"/>
      <c r="I124" s="11"/>
      <c r="J124" s="11"/>
      <c r="K124" s="11"/>
      <c r="L124" s="23"/>
    </row>
    <row r="125" spans="1:12" ht="5.15" customHeight="1" x14ac:dyDescent="0.3">
      <c r="A125" s="5"/>
      <c r="B125" s="125"/>
      <c r="C125" s="113"/>
      <c r="D125" s="5"/>
      <c r="E125" s="18"/>
      <c r="F125" s="18"/>
      <c r="G125" s="18"/>
      <c r="H125" s="14"/>
      <c r="I125" s="18"/>
      <c r="J125" s="18"/>
      <c r="K125" s="18"/>
      <c r="L125" s="16"/>
    </row>
    <row r="126" spans="1:12" ht="15.75" customHeight="1" x14ac:dyDescent="0.3">
      <c r="A126" s="5"/>
      <c r="B126" s="125"/>
      <c r="C126" s="113"/>
      <c r="D126" s="19" t="s">
        <v>22</v>
      </c>
      <c r="E126" s="18"/>
      <c r="F126" s="20">
        <v>10000</v>
      </c>
      <c r="G126" s="18"/>
      <c r="H126" s="13" t="s">
        <v>8</v>
      </c>
      <c r="I126" s="18"/>
      <c r="J126" s="21" t="s">
        <v>9</v>
      </c>
      <c r="K126" s="18"/>
      <c r="L126" s="22" t="s">
        <v>8</v>
      </c>
    </row>
    <row r="127" spans="1:12" ht="5.15" customHeight="1" thickBot="1" x14ac:dyDescent="0.35">
      <c r="A127" s="5"/>
      <c r="B127" s="132"/>
      <c r="C127" s="131"/>
      <c r="D127" s="28"/>
      <c r="E127" s="33"/>
      <c r="F127" s="33"/>
      <c r="G127" s="33"/>
      <c r="H127" s="32"/>
      <c r="I127" s="33"/>
      <c r="J127" s="33"/>
      <c r="K127" s="33"/>
      <c r="L127" s="29"/>
    </row>
    <row r="128" spans="1:12" ht="15" customHeight="1" x14ac:dyDescent="0.3">
      <c r="A128" s="5"/>
      <c r="B128" s="5"/>
      <c r="C128" s="5"/>
      <c r="D128" s="5"/>
      <c r="E128" s="5"/>
      <c r="F128" s="5"/>
      <c r="G128" s="5"/>
      <c r="H128" s="5"/>
      <c r="I128" s="5"/>
      <c r="J128" s="5"/>
      <c r="K128" s="5"/>
      <c r="L128" s="5"/>
    </row>
    <row r="129" spans="1:12" x14ac:dyDescent="0.3">
      <c r="A129" s="5"/>
      <c r="B129" s="5"/>
      <c r="C129" s="5"/>
      <c r="D129" s="5"/>
      <c r="E129" s="5"/>
      <c r="F129" s="5"/>
      <c r="G129" s="5"/>
      <c r="H129" s="5"/>
      <c r="I129" s="5"/>
      <c r="J129" s="5"/>
      <c r="K129" s="5"/>
      <c r="L129" s="5"/>
    </row>
    <row r="130" spans="1:12" ht="28.4" customHeight="1" x14ac:dyDescent="0.3">
      <c r="A130" s="5"/>
      <c r="B130" s="133" t="s">
        <v>23</v>
      </c>
      <c r="C130" s="134"/>
      <c r="D130" s="134"/>
      <c r="E130" s="134"/>
      <c r="F130" s="134"/>
      <c r="G130" s="134"/>
      <c r="H130" s="134"/>
      <c r="I130" s="134"/>
      <c r="J130" s="134"/>
      <c r="K130" s="134"/>
      <c r="L130" s="135"/>
    </row>
    <row r="131" spans="1:12" ht="18" customHeight="1" x14ac:dyDescent="0.3">
      <c r="A131" s="5"/>
      <c r="B131" s="127"/>
      <c r="C131" s="5"/>
      <c r="D131" s="5"/>
      <c r="E131" s="5"/>
      <c r="F131" s="5"/>
      <c r="G131" s="5"/>
      <c r="H131" s="5"/>
      <c r="I131" s="5"/>
      <c r="J131" s="5"/>
      <c r="K131" s="5"/>
      <c r="L131" s="14"/>
    </row>
    <row r="132" spans="1:12" ht="17.149999999999999" customHeight="1" x14ac:dyDescent="0.3">
      <c r="A132" s="5"/>
      <c r="B132" s="127"/>
      <c r="C132" s="8"/>
      <c r="D132" s="9"/>
      <c r="E132" s="115" t="s">
        <v>5</v>
      </c>
      <c r="F132" s="116"/>
      <c r="G132" s="117"/>
      <c r="H132" s="115" t="s">
        <v>4</v>
      </c>
      <c r="I132" s="116"/>
      <c r="J132" s="116"/>
      <c r="K132" s="116"/>
      <c r="L132" s="117"/>
    </row>
    <row r="133" spans="1:12" ht="5.15" customHeight="1" x14ac:dyDescent="0.3">
      <c r="A133" s="5"/>
      <c r="B133" s="127"/>
      <c r="C133" s="112"/>
      <c r="D133" s="5"/>
      <c r="E133" s="18"/>
      <c r="F133" s="18"/>
      <c r="G133" s="18"/>
      <c r="H133" s="5"/>
      <c r="I133" s="5"/>
      <c r="J133" s="5"/>
      <c r="K133" s="5"/>
      <c r="L133" s="14"/>
    </row>
    <row r="134" spans="1:12" ht="15.75" customHeight="1" x14ac:dyDescent="0.3">
      <c r="A134" s="5"/>
      <c r="B134" s="127"/>
      <c r="C134" s="113"/>
      <c r="D134" s="19" t="s">
        <v>7</v>
      </c>
      <c r="E134" s="18"/>
      <c r="F134" s="21" t="s">
        <v>9</v>
      </c>
      <c r="G134" s="18"/>
      <c r="H134" s="129" t="s">
        <v>8</v>
      </c>
      <c r="I134" s="129"/>
      <c r="J134" s="129"/>
      <c r="K134" s="129"/>
      <c r="L134" s="130"/>
    </row>
    <row r="135" spans="1:12" ht="5.15" customHeight="1" x14ac:dyDescent="0.3">
      <c r="A135" s="5"/>
      <c r="B135" s="127"/>
      <c r="C135" s="114"/>
      <c r="D135" s="10"/>
      <c r="E135" s="11"/>
      <c r="F135" s="11"/>
      <c r="G135" s="11"/>
      <c r="H135" s="10"/>
      <c r="I135" s="10"/>
      <c r="J135" s="10"/>
      <c r="K135" s="10"/>
      <c r="L135" s="9"/>
    </row>
    <row r="136" spans="1:12" ht="5.15" customHeight="1" x14ac:dyDescent="0.3">
      <c r="A136" s="5"/>
      <c r="B136" s="127"/>
      <c r="C136" s="113"/>
      <c r="D136" s="5"/>
      <c r="E136" s="18"/>
      <c r="F136" s="18"/>
      <c r="G136" s="18"/>
      <c r="H136" s="5"/>
      <c r="I136" s="5"/>
      <c r="J136" s="5"/>
      <c r="K136" s="5"/>
      <c r="L136" s="14"/>
    </row>
    <row r="137" spans="1:12" ht="15.75" customHeight="1" x14ac:dyDescent="0.3">
      <c r="A137" s="5"/>
      <c r="B137" s="127"/>
      <c r="C137" s="113"/>
      <c r="D137" s="19" t="s">
        <v>24</v>
      </c>
      <c r="E137" s="18"/>
      <c r="F137" s="18"/>
      <c r="G137" s="18"/>
      <c r="H137" s="5"/>
      <c r="I137" s="5"/>
      <c r="J137" s="5"/>
      <c r="K137" s="5"/>
      <c r="L137" s="14"/>
    </row>
    <row r="138" spans="1:12" ht="22" customHeight="1" x14ac:dyDescent="0.3">
      <c r="A138" s="5"/>
      <c r="B138" s="127"/>
      <c r="C138" s="15"/>
      <c r="D138" s="5"/>
      <c r="E138" s="5"/>
      <c r="F138" s="5"/>
      <c r="G138" s="5"/>
      <c r="H138" s="5"/>
      <c r="I138" s="5"/>
      <c r="J138" s="5"/>
      <c r="K138" s="5"/>
      <c r="L138" s="14"/>
    </row>
    <row r="139" spans="1:12" ht="5.15" customHeight="1" x14ac:dyDescent="0.3">
      <c r="A139" s="5"/>
      <c r="B139" s="128"/>
      <c r="C139" s="34"/>
      <c r="D139" s="10"/>
      <c r="E139" s="10"/>
      <c r="F139" s="10"/>
      <c r="G139" s="10"/>
      <c r="H139" s="10"/>
      <c r="I139" s="10"/>
      <c r="J139" s="10"/>
      <c r="K139" s="10"/>
      <c r="L139" s="9"/>
    </row>
    <row r="140" spans="1:12" x14ac:dyDescent="0.3">
      <c r="A140" s="5"/>
      <c r="B140" s="5"/>
      <c r="C140" s="5"/>
      <c r="D140" s="5"/>
      <c r="E140" s="5"/>
      <c r="F140" s="5"/>
      <c r="G140" s="5"/>
      <c r="H140" s="5"/>
      <c r="I140" s="5"/>
      <c r="J140" s="5"/>
      <c r="K140" s="5"/>
      <c r="L140" s="5"/>
    </row>
    <row r="141" spans="1:12" x14ac:dyDescent="0.3">
      <c r="A141" s="5"/>
      <c r="B141" s="5"/>
      <c r="C141" s="5"/>
      <c r="D141" s="5"/>
      <c r="E141" s="5"/>
      <c r="F141" s="5"/>
      <c r="G141" s="5"/>
      <c r="H141" s="5"/>
      <c r="I141" s="5"/>
      <c r="J141" s="5"/>
      <c r="K141" s="5"/>
      <c r="L141" s="5"/>
    </row>
    <row r="142" spans="1:12" ht="28.4" customHeight="1" x14ac:dyDescent="0.3">
      <c r="A142" s="5"/>
      <c r="B142" s="5"/>
      <c r="C142" s="5"/>
      <c r="D142" s="5"/>
      <c r="E142" s="5"/>
      <c r="F142" s="5"/>
      <c r="G142" s="5"/>
      <c r="H142" s="5"/>
      <c r="I142" s="5"/>
      <c r="J142" s="5"/>
      <c r="K142" s="5"/>
      <c r="L142" s="5"/>
    </row>
    <row r="143" spans="1:12" ht="28.4" customHeight="1" x14ac:dyDescent="0.3">
      <c r="A143" s="5"/>
      <c r="B143" s="5"/>
      <c r="C143" s="5"/>
      <c r="D143" s="5"/>
      <c r="E143" s="5"/>
      <c r="F143" s="5"/>
      <c r="G143" s="5"/>
      <c r="H143" s="5"/>
      <c r="I143" s="5"/>
      <c r="J143" s="5"/>
      <c r="K143" s="5"/>
      <c r="L143" s="5"/>
    </row>
    <row r="144" spans="1:12" ht="18" customHeight="1" x14ac:dyDescent="0.3">
      <c r="A144" s="5"/>
      <c r="B144" s="5"/>
      <c r="C144" s="5"/>
      <c r="D144" s="5"/>
      <c r="E144" s="5"/>
      <c r="F144" s="5"/>
      <c r="G144" s="5"/>
      <c r="H144" s="5"/>
      <c r="I144" s="5"/>
      <c r="J144" s="5"/>
      <c r="K144" s="5"/>
      <c r="L144" s="5"/>
    </row>
    <row r="145" spans="1:12" ht="17.149999999999999" customHeight="1" x14ac:dyDescent="0.3">
      <c r="A145" s="5"/>
      <c r="B145" s="5"/>
      <c r="C145" s="5"/>
      <c r="D145" s="5"/>
      <c r="E145" s="5"/>
      <c r="F145" s="5"/>
      <c r="G145" s="5"/>
      <c r="H145" s="5"/>
      <c r="I145" s="5"/>
      <c r="J145" s="5"/>
      <c r="K145" s="5"/>
      <c r="L145" s="5"/>
    </row>
    <row r="146" spans="1:12" ht="5.15" customHeight="1" x14ac:dyDescent="0.3">
      <c r="A146" s="5"/>
      <c r="B146" s="5"/>
      <c r="C146" s="5"/>
      <c r="D146" s="5"/>
      <c r="E146" s="5"/>
      <c r="F146" s="5"/>
      <c r="G146" s="5"/>
      <c r="H146" s="5"/>
      <c r="I146" s="5"/>
      <c r="J146" s="5"/>
      <c r="K146" s="5"/>
      <c r="L146" s="5"/>
    </row>
    <row r="147" spans="1:12" ht="15.75" customHeight="1" x14ac:dyDescent="0.3"/>
    <row r="148" spans="1:12" ht="5.15" customHeight="1" x14ac:dyDescent="0.3"/>
    <row r="149" spans="1:12" ht="5.15" customHeight="1" x14ac:dyDescent="0.3"/>
    <row r="150" spans="1:12" ht="15.75" customHeight="1" x14ac:dyDescent="0.3"/>
    <row r="151" spans="1:12" ht="5.15" customHeight="1" x14ac:dyDescent="0.3"/>
  </sheetData>
  <sheetProtection algorithmName="SHA-512" hashValue="jQcpBwbIEEQ5edMz/EuFswboQxgWf9TSR/nKW2s7bOSKByuGvPLwKmob0ESjL6wpT0OB7oA8BAoXhuiNWLaPXw==" saltValue="BX4hSdBPAVJBjvEvQwFYJQ==" spinCount="100000" sheet="1" objects="1" scenarios="1" formatCells="0" formatColumns="0" formatRows="0"/>
  <mergeCells count="59">
    <mergeCell ref="B131:B139"/>
    <mergeCell ref="E132:G132"/>
    <mergeCell ref="H132:L132"/>
    <mergeCell ref="C133:C135"/>
    <mergeCell ref="H134:L134"/>
    <mergeCell ref="C136:C137"/>
    <mergeCell ref="B130:L130"/>
    <mergeCell ref="B110:L110"/>
    <mergeCell ref="B111:L111"/>
    <mergeCell ref="B112:B119"/>
    <mergeCell ref="E113:G113"/>
    <mergeCell ref="I113:K113"/>
    <mergeCell ref="C114:C116"/>
    <mergeCell ref="C117:C119"/>
    <mergeCell ref="B120:B127"/>
    <mergeCell ref="E121:G121"/>
    <mergeCell ref="I121:K121"/>
    <mergeCell ref="C122:C124"/>
    <mergeCell ref="C125:C127"/>
    <mergeCell ref="B87:B107"/>
    <mergeCell ref="E88:G88"/>
    <mergeCell ref="I88:K88"/>
    <mergeCell ref="C89:C91"/>
    <mergeCell ref="C92:C94"/>
    <mergeCell ref="C95:C97"/>
    <mergeCell ref="C98:C100"/>
    <mergeCell ref="C101:C103"/>
    <mergeCell ref="C104:C105"/>
    <mergeCell ref="B53:L53"/>
    <mergeCell ref="B54:B86"/>
    <mergeCell ref="E55:G55"/>
    <mergeCell ref="I55:K55"/>
    <mergeCell ref="C56:C58"/>
    <mergeCell ref="C59:C61"/>
    <mergeCell ref="C62:C64"/>
    <mergeCell ref="C65:C67"/>
    <mergeCell ref="C68:C70"/>
    <mergeCell ref="C71:C72"/>
    <mergeCell ref="Q33:Q39"/>
    <mergeCell ref="C34:C36"/>
    <mergeCell ref="C37:C38"/>
    <mergeCell ref="D37:D38"/>
    <mergeCell ref="B52:L52"/>
    <mergeCell ref="B1:L1"/>
    <mergeCell ref="B5:L5"/>
    <mergeCell ref="B6:L6"/>
    <mergeCell ref="B7:B27"/>
    <mergeCell ref="Q7:Q19"/>
    <mergeCell ref="E9:G9"/>
    <mergeCell ref="I9:K9"/>
    <mergeCell ref="C10:C12"/>
    <mergeCell ref="C13:C15"/>
    <mergeCell ref="C16:C17"/>
    <mergeCell ref="D16:D17"/>
    <mergeCell ref="Q22:Q29"/>
    <mergeCell ref="B28:B48"/>
    <mergeCell ref="E30:G30"/>
    <mergeCell ref="I30:K30"/>
    <mergeCell ref="C31:C33"/>
  </mergeCells>
  <conditionalFormatting sqref="F66">
    <cfRule type="cellIs" dxfId="65" priority="11" operator="notBetween">
      <formula>100</formula>
      <formula>-100</formula>
    </cfRule>
    <cfRule type="cellIs" dxfId="64" priority="12" operator="between">
      <formula>100</formula>
      <formula>-100</formula>
    </cfRule>
  </conditionalFormatting>
  <conditionalFormatting sqref="F74">
    <cfRule type="cellIs" dxfId="63" priority="9" operator="notBetween">
      <formula>100</formula>
      <formula>-100</formula>
    </cfRule>
    <cfRule type="cellIs" dxfId="62" priority="10" operator="between">
      <formula>100</formula>
      <formula>-100</formula>
    </cfRule>
  </conditionalFormatting>
  <conditionalFormatting sqref="F77">
    <cfRule type="cellIs" dxfId="61" priority="7" operator="notBetween">
      <formula>100</formula>
      <formula>-100</formula>
    </cfRule>
    <cfRule type="cellIs" dxfId="60" priority="8" operator="between">
      <formula>100</formula>
      <formula>-100</formula>
    </cfRule>
  </conditionalFormatting>
  <conditionalFormatting sqref="F80">
    <cfRule type="cellIs" dxfId="59" priority="5" operator="greaterThan">
      <formula>0</formula>
    </cfRule>
    <cfRule type="cellIs" dxfId="58" priority="6" operator="equal">
      <formula>0</formula>
    </cfRule>
  </conditionalFormatting>
  <conditionalFormatting sqref="F83">
    <cfRule type="cellIs" dxfId="57" priority="1" operator="greaterThan">
      <formula>0</formula>
    </cfRule>
    <cfRule type="cellIs" dxfId="56" priority="2" operator="equal">
      <formula>0</formula>
    </cfRule>
  </conditionalFormatting>
  <pageMargins left="0.7" right="0.7" top="0.75" bottom="0.75" header="0.3" footer="0.3"/>
  <pageSetup paperSize="9" orientation="portrait" r:id="rId1"/>
  <headerFooter>
    <oddFooter>&amp;C_x000D_&amp;1#&amp;"Calibri"&amp;10&amp;K000000 Restricted : General Al-Futtaim Group</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37269" r:id="rId6" name="cbApplyPageHeaderFormatting">
          <controlPr defaultSize="0" autoFill="0" autoLine="0" r:id="rId7">
            <anchor moveWithCells="1">
              <from>
                <xdr:col>7</xdr:col>
                <xdr:colOff>1524000</xdr:colOff>
                <xdr:row>129</xdr:row>
                <xdr:rowOff>69850</xdr:rowOff>
              </from>
              <to>
                <xdr:col>7</xdr:col>
                <xdr:colOff>1651000</xdr:colOff>
                <xdr:row>129</xdr:row>
                <xdr:rowOff>342900</xdr:rowOff>
              </to>
            </anchor>
          </controlPr>
        </control>
      </mc:Choice>
      <mc:Fallback>
        <control shapeId="137269" r:id="rId6" name="cbApplyPageHeaderFormatting"/>
      </mc:Fallback>
    </mc:AlternateContent>
    <mc:AlternateContent xmlns:mc="http://schemas.openxmlformats.org/markup-compatibility/2006">
      <mc:Choice Requires="x14">
        <control shapeId="137261" r:id="rId8" name="cbApplyOddEvenFormatting">
          <controlPr defaultSize="0" autoFill="0" autoLine="0" r:id="rId7">
            <anchor moveWithCells="1">
              <from>
                <xdr:col>7</xdr:col>
                <xdr:colOff>1676400</xdr:colOff>
                <xdr:row>109</xdr:row>
                <xdr:rowOff>69850</xdr:rowOff>
              </from>
              <to>
                <xdr:col>7</xdr:col>
                <xdr:colOff>1803400</xdr:colOff>
                <xdr:row>109</xdr:row>
                <xdr:rowOff>342900</xdr:rowOff>
              </to>
            </anchor>
          </controlPr>
        </control>
      </mc:Choice>
      <mc:Fallback>
        <control shapeId="137261" r:id="rId8" name="cbApplyOddEvenFormatting"/>
      </mc:Fallback>
    </mc:AlternateContent>
    <mc:AlternateContent xmlns:mc="http://schemas.openxmlformats.org/markup-compatibility/2006">
      <mc:Choice Requires="x14">
        <control shapeId="137243" r:id="rId9" name="cbApplyMemberFormatting">
          <controlPr defaultSize="0" autoFill="0" autoLine="0" r:id="rId10">
            <anchor moveWithCells="1">
              <from>
                <xdr:col>9</xdr:col>
                <xdr:colOff>476250</xdr:colOff>
                <xdr:row>51</xdr:row>
                <xdr:rowOff>69850</xdr:rowOff>
              </from>
              <to>
                <xdr:col>9</xdr:col>
                <xdr:colOff>603250</xdr:colOff>
                <xdr:row>51</xdr:row>
                <xdr:rowOff>342900</xdr:rowOff>
              </to>
            </anchor>
          </controlPr>
        </control>
      </mc:Choice>
      <mc:Fallback>
        <control shapeId="137243" r:id="rId9" name="cbApplyMemberFormatting"/>
      </mc:Fallback>
    </mc:AlternateContent>
    <mc:AlternateContent xmlns:mc="http://schemas.openxmlformats.org/markup-compatibility/2006">
      <mc:Choice Requires="x14">
        <control shapeId="137217" r:id="rId11" name="cbApplyLevelFormatting">
          <controlPr defaultSize="0" autoFill="0" autoLine="0" r:id="rId10">
            <anchor moveWithCells="1">
              <from>
                <xdr:col>7</xdr:col>
                <xdr:colOff>1485900</xdr:colOff>
                <xdr:row>4</xdr:row>
                <xdr:rowOff>69850</xdr:rowOff>
              </from>
              <to>
                <xdr:col>7</xdr:col>
                <xdr:colOff>1612900</xdr:colOff>
                <xdr:row>4</xdr:row>
                <xdr:rowOff>342900</xdr:rowOff>
              </to>
            </anchor>
          </controlPr>
        </control>
      </mc:Choice>
      <mc:Fallback>
        <control shapeId="137217" r:id="rId11" name="cbApplyLevelFormatting"/>
      </mc:Fallback>
    </mc:AlternateContent>
    <mc:AlternateContent xmlns:mc="http://schemas.openxmlformats.org/markup-compatibility/2006">
      <mc:Choice Requires="x14">
        <control shapeId="137218" r:id="rId12" name="Group Box 2">
          <controlPr defaultSize="0" autoPict="0">
            <anchor moveWithCells="1">
              <from>
                <xdr:col>1</xdr:col>
                <xdr:colOff>0</xdr:colOff>
                <xdr:row>5</xdr:row>
                <xdr:rowOff>0</xdr:rowOff>
              </from>
              <to>
                <xdr:col>3</xdr:col>
                <xdr:colOff>2800350</xdr:colOff>
                <xdr:row>6</xdr:row>
                <xdr:rowOff>0</xdr:rowOff>
              </to>
            </anchor>
          </controlPr>
        </control>
      </mc:Choice>
    </mc:AlternateContent>
    <mc:AlternateContent xmlns:mc="http://schemas.openxmlformats.org/markup-compatibility/2006">
      <mc:Choice Requires="x14">
        <control shapeId="137219" r:id="rId13" name="obLevelRowFirst">
          <controlPr defaultSize="0" autoFill="0" autoLine="0" autoPict="0" macro="_xll.FPMXLClient.TechnicalCategory.ButtonActionInEPMClientFormattingSheet">
            <anchor moveWithCells="1">
              <from>
                <xdr:col>3</xdr:col>
                <xdr:colOff>488950</xdr:colOff>
                <xdr:row>5</xdr:row>
                <xdr:rowOff>57150</xdr:rowOff>
              </from>
              <to>
                <xdr:col>3</xdr:col>
                <xdr:colOff>2609850</xdr:colOff>
                <xdr:row>5</xdr:row>
                <xdr:rowOff>279400</xdr:rowOff>
              </to>
            </anchor>
          </controlPr>
        </control>
      </mc:Choice>
    </mc:AlternateContent>
    <mc:AlternateContent xmlns:mc="http://schemas.openxmlformats.org/markup-compatibility/2006">
      <mc:Choice Requires="x14">
        <control shapeId="137220" r:id="rId14" name="obLevelColumnFirst">
          <controlPr defaultSize="0" autoFill="0" autoLine="0" autoPict="0" macro="_xll.FPMXLClient.TechnicalCategory.ButtonActionInEPMClientFormattingSheet">
            <anchor moveWithCells="1">
              <from>
                <xdr:col>1</xdr:col>
                <xdr:colOff>209550</xdr:colOff>
                <xdr:row>5</xdr:row>
                <xdr:rowOff>57150</xdr:rowOff>
              </from>
              <to>
                <xdr:col>3</xdr:col>
                <xdr:colOff>450850</xdr:colOff>
                <xdr:row>5</xdr:row>
                <xdr:rowOff>279400</xdr:rowOff>
              </to>
            </anchor>
          </controlPr>
        </control>
      </mc:Choice>
    </mc:AlternateContent>
    <mc:AlternateContent xmlns:mc="http://schemas.openxmlformats.org/markup-compatibility/2006">
      <mc:Choice Requires="x14">
        <control shapeId="137221" r:id="rId15" name="Group Box 5">
          <controlPr defaultSize="0" autoPict="0">
            <anchor moveWithCells="1">
              <from>
                <xdr:col>3</xdr:col>
                <xdr:colOff>2755900</xdr:colOff>
                <xdr:row>5</xdr:row>
                <xdr:rowOff>0</xdr:rowOff>
              </from>
              <to>
                <xdr:col>10</xdr:col>
                <xdr:colOff>171450</xdr:colOff>
                <xdr:row>6</xdr:row>
                <xdr:rowOff>0</xdr:rowOff>
              </to>
            </anchor>
          </controlPr>
        </control>
      </mc:Choice>
    </mc:AlternateContent>
    <mc:AlternateContent xmlns:mc="http://schemas.openxmlformats.org/markup-compatibility/2006">
      <mc:Choice Requires="x14">
        <control shapeId="137222" r:id="rId16" name="obRelativeLevelHierarchy">
          <controlPr defaultSize="0" autoFill="0" autoLine="0" autoPict="0" macro="_xll.FPMXLClient.TechnicalCategory.ButtonActionInEPMClientFormattingSheet">
            <anchor moveWithCells="1">
              <from>
                <xdr:col>3</xdr:col>
                <xdr:colOff>4229100</xdr:colOff>
                <xdr:row>5</xdr:row>
                <xdr:rowOff>57150</xdr:rowOff>
              </from>
              <to>
                <xdr:col>6</xdr:col>
                <xdr:colOff>171450</xdr:colOff>
                <xdr:row>5</xdr:row>
                <xdr:rowOff>279400</xdr:rowOff>
              </to>
            </anchor>
          </controlPr>
        </control>
      </mc:Choice>
    </mc:AlternateContent>
    <mc:AlternateContent xmlns:mc="http://schemas.openxmlformats.org/markup-compatibility/2006">
      <mc:Choice Requires="x14">
        <control shapeId="137223" r:id="rId17" name="obDatabaseLevelHierarchy">
          <controlPr defaultSize="0" autoFill="0" autoLine="0" autoPict="0" macro="_xll.FPMXLClient.TechnicalCategory.ButtonActionInEPMClientFormattingSheet">
            <anchor moveWithCells="1">
              <from>
                <xdr:col>3</xdr:col>
                <xdr:colOff>2774950</xdr:colOff>
                <xdr:row>5</xdr:row>
                <xdr:rowOff>57150</xdr:rowOff>
              </from>
              <to>
                <xdr:col>3</xdr:col>
                <xdr:colOff>4203700</xdr:colOff>
                <xdr:row>5</xdr:row>
                <xdr:rowOff>279400</xdr:rowOff>
              </to>
            </anchor>
          </controlPr>
        </control>
      </mc:Choice>
    </mc:AlternateContent>
    <mc:AlternateContent xmlns:mc="http://schemas.openxmlformats.org/markup-compatibility/2006">
      <mc:Choice Requires="x14">
        <control shapeId="137224" r:id="rId18" name="cbApplyLevelFromTopToBottom">
          <controlPr defaultSize="0" autoFill="0" autoLine="0" autoPict="0">
            <anchor moveWithCells="1">
              <from>
                <xdr:col>7</xdr:col>
                <xdr:colOff>19050</xdr:colOff>
                <xdr:row>5</xdr:row>
                <xdr:rowOff>0</xdr:rowOff>
              </from>
              <to>
                <xdr:col>11</xdr:col>
                <xdr:colOff>2419350</xdr:colOff>
                <xdr:row>5</xdr:row>
                <xdr:rowOff>323850</xdr:rowOff>
              </to>
            </anchor>
          </controlPr>
        </control>
      </mc:Choice>
    </mc:AlternateContent>
    <mc:AlternateContent xmlns:mc="http://schemas.openxmlformats.org/markup-compatibility/2006">
      <mc:Choice Requires="x14">
        <control shapeId="137225" r:id="rId19" name="LVL1tbFormattingByLevel">
          <controlPr defaultSize="0" autoFill="0" autoPict="0">
            <anchor moveWithCells="1" sizeWithCells="1">
              <from>
                <xdr:col>10</xdr:col>
                <xdr:colOff>19050</xdr:colOff>
                <xdr:row>6</xdr:row>
                <xdr:rowOff>133350</xdr:rowOff>
              </from>
              <to>
                <xdr:col>11</xdr:col>
                <xdr:colOff>1136650</xdr:colOff>
                <xdr:row>7</xdr:row>
                <xdr:rowOff>127000</xdr:rowOff>
              </to>
            </anchor>
          </controlPr>
        </control>
      </mc:Choice>
    </mc:AlternateContent>
    <mc:AlternateContent xmlns:mc="http://schemas.openxmlformats.org/markup-compatibility/2006">
      <mc:Choice Requires="x14">
        <control shapeId="137226" r:id="rId20" name="Group Box 10">
          <controlPr defaultSize="0" autoPict="0">
            <anchor moveWithCells="1">
              <from>
                <xdr:col>10</xdr:col>
                <xdr:colOff>209550</xdr:colOff>
                <xdr:row>6</xdr:row>
                <xdr:rowOff>0</xdr:rowOff>
              </from>
              <to>
                <xdr:col>12</xdr:col>
                <xdr:colOff>0</xdr:colOff>
                <xdr:row>8</xdr:row>
                <xdr:rowOff>0</xdr:rowOff>
              </to>
            </anchor>
          </controlPr>
        </control>
      </mc:Choice>
    </mc:AlternateContent>
    <mc:AlternateContent xmlns:mc="http://schemas.openxmlformats.org/markup-compatibility/2006">
      <mc:Choice Requires="x14">
        <control shapeId="137227" r:id="rId21" name="obLevelOuterFirst">
          <controlPr defaultSize="0" autoFill="0" autoLine="0" autoPict="0">
            <anchor moveWithCells="1">
              <from>
                <xdr:col>11</xdr:col>
                <xdr:colOff>908050</xdr:colOff>
                <xdr:row>6</xdr:row>
                <xdr:rowOff>228600</xdr:rowOff>
              </from>
              <to>
                <xdr:col>11</xdr:col>
                <xdr:colOff>2108200</xdr:colOff>
                <xdr:row>7</xdr:row>
                <xdr:rowOff>152400</xdr:rowOff>
              </to>
            </anchor>
          </controlPr>
        </control>
      </mc:Choice>
    </mc:AlternateContent>
    <mc:AlternateContent xmlns:mc="http://schemas.openxmlformats.org/markup-compatibility/2006">
      <mc:Choice Requires="x14">
        <control shapeId="137228" r:id="rId22" name="obLevelInnerFirst">
          <controlPr defaultSize="0" autoFill="0" autoLine="0" autoPict="0">
            <anchor moveWithCells="1">
              <from>
                <xdr:col>11</xdr:col>
                <xdr:colOff>908050</xdr:colOff>
                <xdr:row>6</xdr:row>
                <xdr:rowOff>19050</xdr:rowOff>
              </from>
              <to>
                <xdr:col>11</xdr:col>
                <xdr:colOff>2108200</xdr:colOff>
                <xdr:row>6</xdr:row>
                <xdr:rowOff>241300</xdr:rowOff>
              </to>
            </anchor>
          </controlPr>
        </control>
      </mc:Choice>
    </mc:AlternateContent>
    <mc:AlternateContent xmlns:mc="http://schemas.openxmlformats.org/markup-compatibility/2006">
      <mc:Choice Requires="x14">
        <control shapeId="137229" r:id="rId23" name="cbUseDefaultLevelFirst">
          <controlPr defaultSize="0" autoFill="0" autoLine="0" autoPict="0">
            <anchor moveWithCells="1">
              <from>
                <xdr:col>2</xdr:col>
                <xdr:colOff>127000</xdr:colOff>
                <xdr:row>8</xdr:row>
                <xdr:rowOff>203200</xdr:rowOff>
              </from>
              <to>
                <xdr:col>2</xdr:col>
                <xdr:colOff>1022350</xdr:colOff>
                <xdr:row>11</xdr:row>
                <xdr:rowOff>38100</xdr:rowOff>
              </to>
            </anchor>
          </controlPr>
        </control>
      </mc:Choice>
    </mc:AlternateContent>
    <mc:AlternateContent xmlns:mc="http://schemas.openxmlformats.org/markup-compatibility/2006">
      <mc:Choice Requires="x14">
        <control shapeId="137230" r:id="rId24" name="cbUseLeafLevelFirst">
          <controlPr defaultSize="0" autoFill="0" autoLine="0" autoPict="0">
            <anchor moveWithCells="1">
              <from>
                <xdr:col>2</xdr:col>
                <xdr:colOff>127000</xdr:colOff>
                <xdr:row>12</xdr:row>
                <xdr:rowOff>0</xdr:rowOff>
              </from>
              <to>
                <xdr:col>2</xdr:col>
                <xdr:colOff>1022350</xdr:colOff>
                <xdr:row>14</xdr:row>
                <xdr:rowOff>38100</xdr:rowOff>
              </to>
            </anchor>
          </controlPr>
        </control>
      </mc:Choice>
    </mc:AlternateContent>
    <mc:AlternateContent xmlns:mc="http://schemas.openxmlformats.org/markup-compatibility/2006">
      <mc:Choice Requires="x14">
        <control shapeId="137231" r:id="rId25" name="cbUseSpecificLevelFirst">
          <controlPr defaultSize="0" autoFill="0" autoLine="0" autoPict="0">
            <anchor moveWithCells="1">
              <from>
                <xdr:col>2</xdr:col>
                <xdr:colOff>127000</xdr:colOff>
                <xdr:row>15</xdr:row>
                <xdr:rowOff>38100</xdr:rowOff>
              </from>
              <to>
                <xdr:col>2</xdr:col>
                <xdr:colOff>1022350</xdr:colOff>
                <xdr:row>16</xdr:row>
                <xdr:rowOff>114300</xdr:rowOff>
              </to>
            </anchor>
          </controlPr>
        </control>
      </mc:Choice>
    </mc:AlternateContent>
    <mc:AlternateContent xmlns:mc="http://schemas.openxmlformats.org/markup-compatibility/2006">
      <mc:Choice Requires="x14">
        <control shapeId="137232" r:id="rId26" name="AddLevelFirst">
          <controlPr defaultSize="0" print="0" autoFill="0" autoPict="0" macro="_xll.FPMXLClient.TechnicalCategory.ButtonActionInEPMClientFormattingSheet">
            <anchor moveWithCells="1" sizeWithCells="1">
              <from>
                <xdr:col>3</xdr:col>
                <xdr:colOff>57150</xdr:colOff>
                <xdr:row>25</xdr:row>
                <xdr:rowOff>31750</xdr:rowOff>
              </from>
              <to>
                <xdr:col>3</xdr:col>
                <xdr:colOff>2127250</xdr:colOff>
                <xdr:row>26</xdr:row>
                <xdr:rowOff>12700</xdr:rowOff>
              </to>
            </anchor>
          </controlPr>
        </control>
      </mc:Choice>
    </mc:AlternateContent>
    <mc:AlternateContent xmlns:mc="http://schemas.openxmlformats.org/markup-compatibility/2006">
      <mc:Choice Requires="x14">
        <control shapeId="137233" r:id="rId27" name="RemoveLevelFirst">
          <controlPr defaultSize="0" print="0" autoFill="0" autoPict="0" macro="_xll.FPMXLClient.TechnicalCategory.ButtonActionInEPMClientFormattingSheet">
            <anchor moveWithCells="1" sizeWithCells="1">
              <from>
                <xdr:col>3</xdr:col>
                <xdr:colOff>2228850</xdr:colOff>
                <xdr:row>25</xdr:row>
                <xdr:rowOff>31750</xdr:rowOff>
              </from>
              <to>
                <xdr:col>3</xdr:col>
                <xdr:colOff>4298950</xdr:colOff>
                <xdr:row>26</xdr:row>
                <xdr:rowOff>12700</xdr:rowOff>
              </to>
            </anchor>
          </controlPr>
        </control>
      </mc:Choice>
    </mc:AlternateContent>
    <mc:AlternateContent xmlns:mc="http://schemas.openxmlformats.org/markup-compatibility/2006">
      <mc:Choice Requires="x14">
        <control shapeId="137234" r:id="rId28" name="LVL2tbFormattingByLevel">
          <controlPr defaultSize="0" autoFill="0" autoPict="0">
            <anchor moveWithCells="1" sizeWithCells="1">
              <from>
                <xdr:col>10</xdr:col>
                <xdr:colOff>19050</xdr:colOff>
                <xdr:row>27</xdr:row>
                <xdr:rowOff>146050</xdr:rowOff>
              </from>
              <to>
                <xdr:col>11</xdr:col>
                <xdr:colOff>1136650</xdr:colOff>
                <xdr:row>28</xdr:row>
                <xdr:rowOff>133350</xdr:rowOff>
              </to>
            </anchor>
          </controlPr>
        </control>
      </mc:Choice>
    </mc:AlternateContent>
    <mc:AlternateContent xmlns:mc="http://schemas.openxmlformats.org/markup-compatibility/2006">
      <mc:Choice Requires="x14">
        <control shapeId="137235" r:id="rId29" name="Group Box 19">
          <controlPr defaultSize="0" autoPict="0">
            <anchor moveWithCells="1">
              <from>
                <xdr:col>10</xdr:col>
                <xdr:colOff>209550</xdr:colOff>
                <xdr:row>27</xdr:row>
                <xdr:rowOff>0</xdr:rowOff>
              </from>
              <to>
                <xdr:col>12</xdr:col>
                <xdr:colOff>0</xdr:colOff>
                <xdr:row>29</xdr:row>
                <xdr:rowOff>0</xdr:rowOff>
              </to>
            </anchor>
          </controlPr>
        </control>
      </mc:Choice>
    </mc:AlternateContent>
    <mc:AlternateContent xmlns:mc="http://schemas.openxmlformats.org/markup-compatibility/2006">
      <mc:Choice Requires="x14">
        <control shapeId="137236" r:id="rId30" name="obLevelOuterSecond">
          <controlPr defaultSize="0" autoFill="0" autoLine="0" autoPict="0">
            <anchor moveWithCells="1">
              <from>
                <xdr:col>11</xdr:col>
                <xdr:colOff>908050</xdr:colOff>
                <xdr:row>27</xdr:row>
                <xdr:rowOff>228600</xdr:rowOff>
              </from>
              <to>
                <xdr:col>11</xdr:col>
                <xdr:colOff>2108200</xdr:colOff>
                <xdr:row>28</xdr:row>
                <xdr:rowOff>171450</xdr:rowOff>
              </to>
            </anchor>
          </controlPr>
        </control>
      </mc:Choice>
    </mc:AlternateContent>
    <mc:AlternateContent xmlns:mc="http://schemas.openxmlformats.org/markup-compatibility/2006">
      <mc:Choice Requires="x14">
        <control shapeId="137237" r:id="rId31" name="obLevelInnerSecond">
          <controlPr defaultSize="0" autoFill="0" autoLine="0" autoPict="0">
            <anchor moveWithCells="1">
              <from>
                <xdr:col>11</xdr:col>
                <xdr:colOff>908050</xdr:colOff>
                <xdr:row>27</xdr:row>
                <xdr:rowOff>38100</xdr:rowOff>
              </from>
              <to>
                <xdr:col>11</xdr:col>
                <xdr:colOff>2108200</xdr:colOff>
                <xdr:row>27</xdr:row>
                <xdr:rowOff>247650</xdr:rowOff>
              </to>
            </anchor>
          </controlPr>
        </control>
      </mc:Choice>
    </mc:AlternateContent>
    <mc:AlternateContent xmlns:mc="http://schemas.openxmlformats.org/markup-compatibility/2006">
      <mc:Choice Requires="x14">
        <control shapeId="137238" r:id="rId32" name="cbUseDefaultLevelSecond">
          <controlPr defaultSize="0" autoFill="0" autoLine="0" autoPict="0">
            <anchor moveWithCells="1">
              <from>
                <xdr:col>2</xdr:col>
                <xdr:colOff>127000</xdr:colOff>
                <xdr:row>30</xdr:row>
                <xdr:rowOff>0</xdr:rowOff>
              </from>
              <to>
                <xdr:col>2</xdr:col>
                <xdr:colOff>1022350</xdr:colOff>
                <xdr:row>32</xdr:row>
                <xdr:rowOff>38100</xdr:rowOff>
              </to>
            </anchor>
          </controlPr>
        </control>
      </mc:Choice>
    </mc:AlternateContent>
    <mc:AlternateContent xmlns:mc="http://schemas.openxmlformats.org/markup-compatibility/2006">
      <mc:Choice Requires="x14">
        <control shapeId="137239" r:id="rId33" name="cbUseLeafLevelSecond">
          <controlPr defaultSize="0" autoFill="0" autoLine="0" autoPict="0">
            <anchor moveWithCells="1">
              <from>
                <xdr:col>2</xdr:col>
                <xdr:colOff>127000</xdr:colOff>
                <xdr:row>33</xdr:row>
                <xdr:rowOff>0</xdr:rowOff>
              </from>
              <to>
                <xdr:col>2</xdr:col>
                <xdr:colOff>1022350</xdr:colOff>
                <xdr:row>35</xdr:row>
                <xdr:rowOff>38100</xdr:rowOff>
              </to>
            </anchor>
          </controlPr>
        </control>
      </mc:Choice>
    </mc:AlternateContent>
    <mc:AlternateContent xmlns:mc="http://schemas.openxmlformats.org/markup-compatibility/2006">
      <mc:Choice Requires="x14">
        <control shapeId="137240" r:id="rId34" name="cbUseSpecificLevelSecond">
          <controlPr defaultSize="0" autoFill="0" autoLine="0" autoPict="0">
            <anchor moveWithCells="1">
              <from>
                <xdr:col>2</xdr:col>
                <xdr:colOff>127000</xdr:colOff>
                <xdr:row>36</xdr:row>
                <xdr:rowOff>38100</xdr:rowOff>
              </from>
              <to>
                <xdr:col>2</xdr:col>
                <xdr:colOff>1022350</xdr:colOff>
                <xdr:row>37</xdr:row>
                <xdr:rowOff>114300</xdr:rowOff>
              </to>
            </anchor>
          </controlPr>
        </control>
      </mc:Choice>
    </mc:AlternateContent>
    <mc:AlternateContent xmlns:mc="http://schemas.openxmlformats.org/markup-compatibility/2006">
      <mc:Choice Requires="x14">
        <control shapeId="137241" r:id="rId35" name="AddLevelSecond">
          <controlPr defaultSize="0" print="0" autoFill="0" autoPict="0" macro="_xll.FPMXLClient.TechnicalCategory.ButtonActionInEPMClientFormattingSheet">
            <anchor moveWithCells="1" sizeWithCells="1">
              <from>
                <xdr:col>3</xdr:col>
                <xdr:colOff>57150</xdr:colOff>
                <xdr:row>46</xdr:row>
                <xdr:rowOff>19050</xdr:rowOff>
              </from>
              <to>
                <xdr:col>3</xdr:col>
                <xdr:colOff>2127250</xdr:colOff>
                <xdr:row>47</xdr:row>
                <xdr:rowOff>0</xdr:rowOff>
              </to>
            </anchor>
          </controlPr>
        </control>
      </mc:Choice>
    </mc:AlternateContent>
    <mc:AlternateContent xmlns:mc="http://schemas.openxmlformats.org/markup-compatibility/2006">
      <mc:Choice Requires="x14">
        <control shapeId="137242" r:id="rId36" name="RemoveLevelSecond">
          <controlPr defaultSize="0" print="0" autoFill="0" autoPict="0" macro="_xll.FPMXLClient.TechnicalCategory.ButtonActionInEPMClientFormattingSheet">
            <anchor moveWithCells="1" sizeWithCells="1">
              <from>
                <xdr:col>3</xdr:col>
                <xdr:colOff>2228850</xdr:colOff>
                <xdr:row>46</xdr:row>
                <xdr:rowOff>19050</xdr:rowOff>
              </from>
              <to>
                <xdr:col>3</xdr:col>
                <xdr:colOff>4298950</xdr:colOff>
                <xdr:row>47</xdr:row>
                <xdr:rowOff>0</xdr:rowOff>
              </to>
            </anchor>
          </controlPr>
        </control>
      </mc:Choice>
    </mc:AlternateContent>
    <mc:AlternateContent xmlns:mc="http://schemas.openxmlformats.org/markup-compatibility/2006">
      <mc:Choice Requires="x14">
        <control shapeId="137244" r:id="rId37" name="Group Box 28">
          <controlPr defaultSize="0" autoPict="0">
            <anchor moveWithCells="1">
              <from>
                <xdr:col>1</xdr:col>
                <xdr:colOff>0</xdr:colOff>
                <xdr:row>52</xdr:row>
                <xdr:rowOff>0</xdr:rowOff>
              </from>
              <to>
                <xdr:col>12</xdr:col>
                <xdr:colOff>0</xdr:colOff>
                <xdr:row>53</xdr:row>
                <xdr:rowOff>0</xdr:rowOff>
              </to>
            </anchor>
          </controlPr>
        </control>
      </mc:Choice>
    </mc:AlternateContent>
    <mc:AlternateContent xmlns:mc="http://schemas.openxmlformats.org/markup-compatibility/2006">
      <mc:Choice Requires="x14">
        <control shapeId="137245" r:id="rId38" name="obMemberRowFirst">
          <controlPr defaultSize="0" autoFill="0" autoLine="0" autoPict="0" macro="_xll.FPMXLClient.TechnicalCategory.ButtonActionInEPMClientFormattingSheet">
            <anchor moveWithCells="1">
              <from>
                <xdr:col>3</xdr:col>
                <xdr:colOff>488950</xdr:colOff>
                <xdr:row>52</xdr:row>
                <xdr:rowOff>57150</xdr:rowOff>
              </from>
              <to>
                <xdr:col>3</xdr:col>
                <xdr:colOff>2609850</xdr:colOff>
                <xdr:row>52</xdr:row>
                <xdr:rowOff>279400</xdr:rowOff>
              </to>
            </anchor>
          </controlPr>
        </control>
      </mc:Choice>
    </mc:AlternateContent>
    <mc:AlternateContent xmlns:mc="http://schemas.openxmlformats.org/markup-compatibility/2006">
      <mc:Choice Requires="x14">
        <control shapeId="137246" r:id="rId39" name="obMemberColumnFirst">
          <controlPr defaultSize="0" autoFill="0" autoLine="0" autoPict="0" macro="_xll.FPMXLClient.TechnicalCategory.ButtonActionInEPMClientFormattingSheet">
            <anchor moveWithCells="1">
              <from>
                <xdr:col>1</xdr:col>
                <xdr:colOff>209550</xdr:colOff>
                <xdr:row>52</xdr:row>
                <xdr:rowOff>57150</xdr:rowOff>
              </from>
              <to>
                <xdr:col>3</xdr:col>
                <xdr:colOff>450850</xdr:colOff>
                <xdr:row>52</xdr:row>
                <xdr:rowOff>279400</xdr:rowOff>
              </to>
            </anchor>
          </controlPr>
        </control>
      </mc:Choice>
    </mc:AlternateContent>
    <mc:AlternateContent xmlns:mc="http://schemas.openxmlformats.org/markup-compatibility/2006">
      <mc:Choice Requires="x14">
        <control shapeId="137247" r:id="rId40" name="cbApplyCustomMemberDefaultFirst">
          <controlPr defaultSize="0" autoFill="0" autoLine="0" autoPict="0">
            <anchor moveWithCells="1">
              <from>
                <xdr:col>2</xdr:col>
                <xdr:colOff>127000</xdr:colOff>
                <xdr:row>54</xdr:row>
                <xdr:rowOff>203200</xdr:rowOff>
              </from>
              <to>
                <xdr:col>2</xdr:col>
                <xdr:colOff>1022350</xdr:colOff>
                <xdr:row>57</xdr:row>
                <xdr:rowOff>38100</xdr:rowOff>
              </to>
            </anchor>
          </controlPr>
        </control>
      </mc:Choice>
    </mc:AlternateContent>
    <mc:AlternateContent xmlns:mc="http://schemas.openxmlformats.org/markup-compatibility/2006">
      <mc:Choice Requires="x14">
        <control shapeId="137248" r:id="rId41" name="cbApplyCalculatedMemberFirst">
          <controlPr defaultSize="0" autoFill="0" autoLine="0" autoPict="0">
            <anchor moveWithCells="1">
              <from>
                <xdr:col>2</xdr:col>
                <xdr:colOff>127000</xdr:colOff>
                <xdr:row>57</xdr:row>
                <xdr:rowOff>50800</xdr:rowOff>
              </from>
              <to>
                <xdr:col>2</xdr:col>
                <xdr:colOff>1022350</xdr:colOff>
                <xdr:row>60</xdr:row>
                <xdr:rowOff>38100</xdr:rowOff>
              </to>
            </anchor>
          </controlPr>
        </control>
      </mc:Choice>
    </mc:AlternateContent>
    <mc:AlternateContent xmlns:mc="http://schemas.openxmlformats.org/markup-compatibility/2006">
      <mc:Choice Requires="x14">
        <control shapeId="137249" r:id="rId42" name="cbApplyImputableMemberFirst">
          <controlPr defaultSize="0" autoFill="0" autoLine="0" autoPict="0">
            <anchor moveWithCells="1">
              <from>
                <xdr:col>2</xdr:col>
                <xdr:colOff>127000</xdr:colOff>
                <xdr:row>61</xdr:row>
                <xdr:rowOff>0</xdr:rowOff>
              </from>
              <to>
                <xdr:col>2</xdr:col>
                <xdr:colOff>1022350</xdr:colOff>
                <xdr:row>63</xdr:row>
                <xdr:rowOff>38100</xdr:rowOff>
              </to>
            </anchor>
          </controlPr>
        </control>
      </mc:Choice>
    </mc:AlternateContent>
    <mc:AlternateContent xmlns:mc="http://schemas.openxmlformats.org/markup-compatibility/2006">
      <mc:Choice Requires="x14">
        <control shapeId="137250" r:id="rId43" name="cbApplyLocalMemberFirst">
          <controlPr defaultSize="0" autoFill="0" autoLine="0" autoPict="0">
            <anchor moveWithCells="1">
              <from>
                <xdr:col>2</xdr:col>
                <xdr:colOff>127000</xdr:colOff>
                <xdr:row>64</xdr:row>
                <xdr:rowOff>0</xdr:rowOff>
              </from>
              <to>
                <xdr:col>2</xdr:col>
                <xdr:colOff>1022350</xdr:colOff>
                <xdr:row>66</xdr:row>
                <xdr:rowOff>38100</xdr:rowOff>
              </to>
            </anchor>
          </controlPr>
        </control>
      </mc:Choice>
    </mc:AlternateContent>
    <mc:AlternateContent xmlns:mc="http://schemas.openxmlformats.org/markup-compatibility/2006">
      <mc:Choice Requires="x14">
        <control shapeId="137251" r:id="rId44" name="cbApplyChangedMemberFirst">
          <controlPr defaultSize="0" autoFill="0" autoLine="0" autoPict="0">
            <anchor moveWithCells="1">
              <from>
                <xdr:col>2</xdr:col>
                <xdr:colOff>127000</xdr:colOff>
                <xdr:row>67</xdr:row>
                <xdr:rowOff>0</xdr:rowOff>
              </from>
              <to>
                <xdr:col>2</xdr:col>
                <xdr:colOff>1022350</xdr:colOff>
                <xdr:row>69</xdr:row>
                <xdr:rowOff>38100</xdr:rowOff>
              </to>
            </anchor>
          </controlPr>
        </control>
      </mc:Choice>
    </mc:AlternateContent>
    <mc:AlternateContent xmlns:mc="http://schemas.openxmlformats.org/markup-compatibility/2006">
      <mc:Choice Requires="x14">
        <control shapeId="137252" r:id="rId45" name="cbApplySpecificMemberFirst">
          <controlPr defaultSize="0" autoFill="0" autoLine="0" autoPict="0">
            <anchor moveWithCells="1">
              <from>
                <xdr:col>2</xdr:col>
                <xdr:colOff>127000</xdr:colOff>
                <xdr:row>70</xdr:row>
                <xdr:rowOff>50800</xdr:rowOff>
              </from>
              <to>
                <xdr:col>2</xdr:col>
                <xdr:colOff>1022350</xdr:colOff>
                <xdr:row>72</xdr:row>
                <xdr:rowOff>0</xdr:rowOff>
              </to>
            </anchor>
          </controlPr>
        </control>
      </mc:Choice>
    </mc:AlternateContent>
    <mc:AlternateContent xmlns:mc="http://schemas.openxmlformats.org/markup-compatibility/2006">
      <mc:Choice Requires="x14">
        <control shapeId="137253" r:id="rId46" name="AddMemberFirst">
          <controlPr defaultSize="0" print="0" autoFill="0" autoPict="0" macro="_xll.FPMXLClient.TechnicalCategory.ButtonActionInEPMClientFormattingSheet">
            <anchor moveWithCells="1" sizeWithCells="1">
              <from>
                <xdr:col>3</xdr:col>
                <xdr:colOff>57150</xdr:colOff>
                <xdr:row>84</xdr:row>
                <xdr:rowOff>19050</xdr:rowOff>
              </from>
              <to>
                <xdr:col>3</xdr:col>
                <xdr:colOff>4286250</xdr:colOff>
                <xdr:row>84</xdr:row>
                <xdr:rowOff>266700</xdr:rowOff>
              </to>
            </anchor>
          </controlPr>
        </control>
      </mc:Choice>
    </mc:AlternateContent>
    <mc:AlternateContent xmlns:mc="http://schemas.openxmlformats.org/markup-compatibility/2006">
      <mc:Choice Requires="x14">
        <control shapeId="137254" r:id="rId47" name="cbApplyCustomMemberDefaultSecond">
          <controlPr defaultSize="0" autoFill="0" autoLine="0" autoPict="0">
            <anchor moveWithCells="1">
              <from>
                <xdr:col>2</xdr:col>
                <xdr:colOff>127000</xdr:colOff>
                <xdr:row>88</xdr:row>
                <xdr:rowOff>0</xdr:rowOff>
              </from>
              <to>
                <xdr:col>2</xdr:col>
                <xdr:colOff>1022350</xdr:colOff>
                <xdr:row>90</xdr:row>
                <xdr:rowOff>38100</xdr:rowOff>
              </to>
            </anchor>
          </controlPr>
        </control>
      </mc:Choice>
    </mc:AlternateContent>
    <mc:AlternateContent xmlns:mc="http://schemas.openxmlformats.org/markup-compatibility/2006">
      <mc:Choice Requires="x14">
        <control shapeId="137255" r:id="rId48" name="cbApplyCalculatedMemberSecond">
          <controlPr defaultSize="0" autoFill="0" autoLine="0" autoPict="0">
            <anchor moveWithCells="1">
              <from>
                <xdr:col>2</xdr:col>
                <xdr:colOff>127000</xdr:colOff>
                <xdr:row>90</xdr:row>
                <xdr:rowOff>50800</xdr:rowOff>
              </from>
              <to>
                <xdr:col>2</xdr:col>
                <xdr:colOff>1022350</xdr:colOff>
                <xdr:row>93</xdr:row>
                <xdr:rowOff>38100</xdr:rowOff>
              </to>
            </anchor>
          </controlPr>
        </control>
      </mc:Choice>
    </mc:AlternateContent>
    <mc:AlternateContent xmlns:mc="http://schemas.openxmlformats.org/markup-compatibility/2006">
      <mc:Choice Requires="x14">
        <control shapeId="137256" r:id="rId49" name="cbApplyImputableMemberSecond">
          <controlPr defaultSize="0" autoFill="0" autoLine="0" autoPict="0">
            <anchor moveWithCells="1">
              <from>
                <xdr:col>2</xdr:col>
                <xdr:colOff>127000</xdr:colOff>
                <xdr:row>94</xdr:row>
                <xdr:rowOff>0</xdr:rowOff>
              </from>
              <to>
                <xdr:col>2</xdr:col>
                <xdr:colOff>1022350</xdr:colOff>
                <xdr:row>96</xdr:row>
                <xdr:rowOff>38100</xdr:rowOff>
              </to>
            </anchor>
          </controlPr>
        </control>
      </mc:Choice>
    </mc:AlternateContent>
    <mc:AlternateContent xmlns:mc="http://schemas.openxmlformats.org/markup-compatibility/2006">
      <mc:Choice Requires="x14">
        <control shapeId="137257" r:id="rId50" name="cbApplyLocalMemberSecond">
          <controlPr defaultSize="0" autoFill="0" autoLine="0" autoPict="0">
            <anchor moveWithCells="1">
              <from>
                <xdr:col>2</xdr:col>
                <xdr:colOff>127000</xdr:colOff>
                <xdr:row>97</xdr:row>
                <xdr:rowOff>0</xdr:rowOff>
              </from>
              <to>
                <xdr:col>2</xdr:col>
                <xdr:colOff>1022350</xdr:colOff>
                <xdr:row>99</xdr:row>
                <xdr:rowOff>38100</xdr:rowOff>
              </to>
            </anchor>
          </controlPr>
        </control>
      </mc:Choice>
    </mc:AlternateContent>
    <mc:AlternateContent xmlns:mc="http://schemas.openxmlformats.org/markup-compatibility/2006">
      <mc:Choice Requires="x14">
        <control shapeId="137258" r:id="rId51" name="cbApplyChangedMemberSecond">
          <controlPr defaultSize="0" autoFill="0" autoLine="0" autoPict="0">
            <anchor moveWithCells="1">
              <from>
                <xdr:col>2</xdr:col>
                <xdr:colOff>127000</xdr:colOff>
                <xdr:row>100</xdr:row>
                <xdr:rowOff>0</xdr:rowOff>
              </from>
              <to>
                <xdr:col>2</xdr:col>
                <xdr:colOff>1022350</xdr:colOff>
                <xdr:row>102</xdr:row>
                <xdr:rowOff>38100</xdr:rowOff>
              </to>
            </anchor>
          </controlPr>
        </control>
      </mc:Choice>
    </mc:AlternateContent>
    <mc:AlternateContent xmlns:mc="http://schemas.openxmlformats.org/markup-compatibility/2006">
      <mc:Choice Requires="x14">
        <control shapeId="137259" r:id="rId52" name="cbApplySpecificMemberSecond">
          <controlPr defaultSize="0" autoFill="0" autoLine="0" autoPict="0">
            <anchor moveWithCells="1">
              <from>
                <xdr:col>2</xdr:col>
                <xdr:colOff>127000</xdr:colOff>
                <xdr:row>103</xdr:row>
                <xdr:rowOff>50800</xdr:rowOff>
              </from>
              <to>
                <xdr:col>2</xdr:col>
                <xdr:colOff>1022350</xdr:colOff>
                <xdr:row>105</xdr:row>
                <xdr:rowOff>0</xdr:rowOff>
              </to>
            </anchor>
          </controlPr>
        </control>
      </mc:Choice>
    </mc:AlternateContent>
    <mc:AlternateContent xmlns:mc="http://schemas.openxmlformats.org/markup-compatibility/2006">
      <mc:Choice Requires="x14">
        <control shapeId="137260" r:id="rId53" name="AddMemberSecond">
          <controlPr defaultSize="0" print="0" autoFill="0" autoPict="0" macro="_xll.FPMXLClient.TechnicalCategory.ButtonActionInEPMClientFormattingSheet">
            <anchor moveWithCells="1" sizeWithCells="1">
              <from>
                <xdr:col>3</xdr:col>
                <xdr:colOff>57150</xdr:colOff>
                <xdr:row>105</xdr:row>
                <xdr:rowOff>19050</xdr:rowOff>
              </from>
              <to>
                <xdr:col>3</xdr:col>
                <xdr:colOff>4286250</xdr:colOff>
                <xdr:row>105</xdr:row>
                <xdr:rowOff>266700</xdr:rowOff>
              </to>
            </anchor>
          </controlPr>
        </control>
      </mc:Choice>
    </mc:AlternateContent>
    <mc:AlternateContent xmlns:mc="http://schemas.openxmlformats.org/markup-compatibility/2006">
      <mc:Choice Requires="x14">
        <control shapeId="137262" r:id="rId54" name="Group Box 46">
          <controlPr defaultSize="0" autoPict="0">
            <anchor moveWithCells="1">
              <from>
                <xdr:col>1</xdr:col>
                <xdr:colOff>0</xdr:colOff>
                <xdr:row>110</xdr:row>
                <xdr:rowOff>0</xdr:rowOff>
              </from>
              <to>
                <xdr:col>12</xdr:col>
                <xdr:colOff>0</xdr:colOff>
                <xdr:row>111</xdr:row>
                <xdr:rowOff>0</xdr:rowOff>
              </to>
            </anchor>
          </controlPr>
        </control>
      </mc:Choice>
    </mc:AlternateContent>
    <mc:AlternateContent xmlns:mc="http://schemas.openxmlformats.org/markup-compatibility/2006">
      <mc:Choice Requires="x14">
        <control shapeId="137263" r:id="rId55" name="obOddEvenRowFirst">
          <controlPr defaultSize="0" autoFill="0" autoLine="0" autoPict="0" macro="_xll.FPMXLClient.TechnicalCategory.ButtonActionInEPMClientFormattingSheet">
            <anchor moveWithCells="1">
              <from>
                <xdr:col>3</xdr:col>
                <xdr:colOff>488950</xdr:colOff>
                <xdr:row>110</xdr:row>
                <xdr:rowOff>69850</xdr:rowOff>
              </from>
              <to>
                <xdr:col>3</xdr:col>
                <xdr:colOff>2609850</xdr:colOff>
                <xdr:row>110</xdr:row>
                <xdr:rowOff>279400</xdr:rowOff>
              </to>
            </anchor>
          </controlPr>
        </control>
      </mc:Choice>
    </mc:AlternateContent>
    <mc:AlternateContent xmlns:mc="http://schemas.openxmlformats.org/markup-compatibility/2006">
      <mc:Choice Requires="x14">
        <control shapeId="137264" r:id="rId56" name="obOddEvenColumnFirst">
          <controlPr defaultSize="0" autoFill="0" autoLine="0" autoPict="0" macro="_xll.FPMXLClient.TechnicalCategory.ButtonActionInEPMClientFormattingSheet">
            <anchor moveWithCells="1">
              <from>
                <xdr:col>1</xdr:col>
                <xdr:colOff>209550</xdr:colOff>
                <xdr:row>110</xdr:row>
                <xdr:rowOff>69850</xdr:rowOff>
              </from>
              <to>
                <xdr:col>3</xdr:col>
                <xdr:colOff>450850</xdr:colOff>
                <xdr:row>110</xdr:row>
                <xdr:rowOff>279400</xdr:rowOff>
              </to>
            </anchor>
          </controlPr>
        </control>
      </mc:Choice>
    </mc:AlternateContent>
    <mc:AlternateContent xmlns:mc="http://schemas.openxmlformats.org/markup-compatibility/2006">
      <mc:Choice Requires="x14">
        <control shapeId="137265" r:id="rId57" name="cbUseOddFirst">
          <controlPr defaultSize="0" autoFill="0" autoLine="0" autoPict="0">
            <anchor moveWithCells="1">
              <from>
                <xdr:col>2</xdr:col>
                <xdr:colOff>127000</xdr:colOff>
                <xdr:row>113</xdr:row>
                <xdr:rowOff>0</xdr:rowOff>
              </from>
              <to>
                <xdr:col>2</xdr:col>
                <xdr:colOff>1022350</xdr:colOff>
                <xdr:row>115</xdr:row>
                <xdr:rowOff>38100</xdr:rowOff>
              </to>
            </anchor>
          </controlPr>
        </control>
      </mc:Choice>
    </mc:AlternateContent>
    <mc:AlternateContent xmlns:mc="http://schemas.openxmlformats.org/markup-compatibility/2006">
      <mc:Choice Requires="x14">
        <control shapeId="137266" r:id="rId58" name="cbUseEvenFirst">
          <controlPr defaultSize="0" autoFill="0" autoLine="0" autoPict="0">
            <anchor moveWithCells="1">
              <from>
                <xdr:col>2</xdr:col>
                <xdr:colOff>127000</xdr:colOff>
                <xdr:row>116</xdr:row>
                <xdr:rowOff>0</xdr:rowOff>
              </from>
              <to>
                <xdr:col>2</xdr:col>
                <xdr:colOff>1022350</xdr:colOff>
                <xdr:row>118</xdr:row>
                <xdr:rowOff>38100</xdr:rowOff>
              </to>
            </anchor>
          </controlPr>
        </control>
      </mc:Choice>
    </mc:AlternateContent>
    <mc:AlternateContent xmlns:mc="http://schemas.openxmlformats.org/markup-compatibility/2006">
      <mc:Choice Requires="x14">
        <control shapeId="137267" r:id="rId59" name="cbUseOddSecond">
          <controlPr defaultSize="0" autoFill="0" autoLine="0" autoPict="0">
            <anchor moveWithCells="1">
              <from>
                <xdr:col>2</xdr:col>
                <xdr:colOff>127000</xdr:colOff>
                <xdr:row>121</xdr:row>
                <xdr:rowOff>0</xdr:rowOff>
              </from>
              <to>
                <xdr:col>2</xdr:col>
                <xdr:colOff>1022350</xdr:colOff>
                <xdr:row>123</xdr:row>
                <xdr:rowOff>38100</xdr:rowOff>
              </to>
            </anchor>
          </controlPr>
        </control>
      </mc:Choice>
    </mc:AlternateContent>
    <mc:AlternateContent xmlns:mc="http://schemas.openxmlformats.org/markup-compatibility/2006">
      <mc:Choice Requires="x14">
        <control shapeId="137268" r:id="rId60" name="cbUseEvenSecond">
          <controlPr defaultSize="0" autoFill="0" autoLine="0" autoPict="0">
            <anchor moveWithCells="1">
              <from>
                <xdr:col>2</xdr:col>
                <xdr:colOff>127000</xdr:colOff>
                <xdr:row>123</xdr:row>
                <xdr:rowOff>50800</xdr:rowOff>
              </from>
              <to>
                <xdr:col>2</xdr:col>
                <xdr:colOff>1022350</xdr:colOff>
                <xdr:row>126</xdr:row>
                <xdr:rowOff>38100</xdr:rowOff>
              </to>
            </anchor>
          </controlPr>
        </control>
      </mc:Choice>
    </mc:AlternateContent>
    <mc:AlternateContent xmlns:mc="http://schemas.openxmlformats.org/markup-compatibility/2006">
      <mc:Choice Requires="x14">
        <control shapeId="137270" r:id="rId61" name="cbUseDefaultPageHeaderFormat">
          <controlPr defaultSize="0" autoFill="0" autoLine="0" autoPict="0">
            <anchor moveWithCells="1">
              <from>
                <xdr:col>2</xdr:col>
                <xdr:colOff>127000</xdr:colOff>
                <xdr:row>131</xdr:row>
                <xdr:rowOff>203200</xdr:rowOff>
              </from>
              <to>
                <xdr:col>2</xdr:col>
                <xdr:colOff>1022350</xdr:colOff>
                <xdr:row>134</xdr:row>
                <xdr:rowOff>38100</xdr:rowOff>
              </to>
            </anchor>
          </controlPr>
        </control>
      </mc:Choice>
    </mc:AlternateContent>
    <mc:AlternateContent xmlns:mc="http://schemas.openxmlformats.org/markup-compatibility/2006">
      <mc:Choice Requires="x14">
        <control shapeId="137271" r:id="rId62" name="cbUseDimensionFormatting">
          <controlPr defaultSize="0" autoFill="0" autoLine="0" autoPict="0">
            <anchor moveWithCells="1">
              <from>
                <xdr:col>2</xdr:col>
                <xdr:colOff>127000</xdr:colOff>
                <xdr:row>135</xdr:row>
                <xdr:rowOff>0</xdr:rowOff>
              </from>
              <to>
                <xdr:col>2</xdr:col>
                <xdr:colOff>1022350</xdr:colOff>
                <xdr:row>136</xdr:row>
                <xdr:rowOff>171450</xdr:rowOff>
              </to>
            </anchor>
          </controlPr>
        </control>
      </mc:Choice>
    </mc:AlternateContent>
    <mc:AlternateContent xmlns:mc="http://schemas.openxmlformats.org/markup-compatibility/2006">
      <mc:Choice Requires="x14">
        <control shapeId="137272" r:id="rId63" name="AddDimension">
          <controlPr defaultSize="0" print="0" autoFill="0" autoPict="0" macro="_xll.FPMXLClient.TechnicalCategory.ButtonActionInEPMClientFormattingSheet">
            <anchor moveWithCells="1" sizeWithCells="1">
              <from>
                <xdr:col>3</xdr:col>
                <xdr:colOff>57150</xdr:colOff>
                <xdr:row>137</xdr:row>
                <xdr:rowOff>19050</xdr:rowOff>
              </from>
              <to>
                <xdr:col>3</xdr:col>
                <xdr:colOff>4286250</xdr:colOff>
                <xdr:row>138</xdr:row>
                <xdr:rowOff>0</xdr:rowOff>
              </to>
            </anchor>
          </controlPr>
        </control>
      </mc:Choice>
    </mc:AlternateContent>
    <mc:AlternateContent xmlns:mc="http://schemas.openxmlformats.org/markup-compatibility/2006">
      <mc:Choice Requires="x14">
        <control shapeId="137274" r:id="rId64" name="AddedMember1_1">
          <controlPr defaultSize="0" print="0" autoFill="0" autoPict="0" macro="_xll.FPMXLClient.TechnicalCategory.ButtonActionInEPMClientFormattingSheet">
            <anchor moveWithCells="1">
              <from>
                <xdr:col>12</xdr:col>
                <xdr:colOff>0</xdr:colOff>
                <xdr:row>73</xdr:row>
                <xdr:rowOff>0</xdr:rowOff>
              </from>
              <to>
                <xdr:col>12</xdr:col>
                <xdr:colOff>685800</xdr:colOff>
                <xdr:row>74</xdr:row>
                <xdr:rowOff>0</xdr:rowOff>
              </to>
            </anchor>
          </controlPr>
        </control>
      </mc:Choice>
    </mc:AlternateContent>
    <mc:AlternateContent xmlns:mc="http://schemas.openxmlformats.org/markup-compatibility/2006">
      <mc:Choice Requires="x14">
        <control shapeId="137275" r:id="rId65" name="ChangeMember1_1">
          <controlPr defaultSize="0" print="0" autoFill="0" autoPict="0" macro="_xll.FPMXLClient.TechnicalCategory.ButtonActionInEPMClientFormattingSheet">
            <anchor moveWithCells="1">
              <from>
                <xdr:col>12</xdr:col>
                <xdr:colOff>704850</xdr:colOff>
                <xdr:row>73</xdr:row>
                <xdr:rowOff>0</xdr:rowOff>
              </from>
              <to>
                <xdr:col>13</xdr:col>
                <xdr:colOff>679450</xdr:colOff>
                <xdr:row>74</xdr:row>
                <xdr:rowOff>0</xdr:rowOff>
              </to>
            </anchor>
          </controlPr>
        </control>
      </mc:Choice>
    </mc:AlternateContent>
    <mc:AlternateContent xmlns:mc="http://schemas.openxmlformats.org/markup-compatibility/2006">
      <mc:Choice Requires="x14">
        <control shapeId="137276" r:id="rId66" name="UpMember1_1">
          <controlPr defaultSize="0" print="0" autoFill="0" autoPict="0" macro="_xll.FPMXLClient.TechnicalCategory.ButtonActionInEPMClientFormattingSheet">
            <anchor moveWithCells="1">
              <from>
                <xdr:col>14</xdr:col>
                <xdr:colOff>0</xdr:colOff>
                <xdr:row>73</xdr:row>
                <xdr:rowOff>0</xdr:rowOff>
              </from>
              <to>
                <xdr:col>14</xdr:col>
                <xdr:colOff>685800</xdr:colOff>
                <xdr:row>74</xdr:row>
                <xdr:rowOff>0</xdr:rowOff>
              </to>
            </anchor>
          </controlPr>
        </control>
      </mc:Choice>
    </mc:AlternateContent>
    <mc:AlternateContent xmlns:mc="http://schemas.openxmlformats.org/markup-compatibility/2006">
      <mc:Choice Requires="x14">
        <control shapeId="137277" r:id="rId67" name="DownMember1_1">
          <controlPr defaultSize="0" print="0" autoFill="0" autoPict="0" macro="_xll.FPMXLClient.TechnicalCategory.ButtonActionInEPMClientFormattingSheet">
            <anchor moveWithCells="1">
              <from>
                <xdr:col>15</xdr:col>
                <xdr:colOff>0</xdr:colOff>
                <xdr:row>73</xdr:row>
                <xdr:rowOff>0</xdr:rowOff>
              </from>
              <to>
                <xdr:col>15</xdr:col>
                <xdr:colOff>685800</xdr:colOff>
                <xdr:row>74</xdr:row>
                <xdr:rowOff>0</xdr:rowOff>
              </to>
            </anchor>
          </controlPr>
        </control>
      </mc:Choice>
    </mc:AlternateContent>
    <mc:AlternateContent xmlns:mc="http://schemas.openxmlformats.org/markup-compatibility/2006">
      <mc:Choice Requires="x14">
        <control shapeId="137280" r:id="rId68" name="AddedMember1_2">
          <controlPr defaultSize="0" print="0" autoFill="0" autoPict="0" macro="_xll.FPMXLClient.TechnicalCategory.ButtonActionInEPMClientFormattingSheet">
            <anchor moveWithCells="1">
              <from>
                <xdr:col>12</xdr:col>
                <xdr:colOff>0</xdr:colOff>
                <xdr:row>76</xdr:row>
                <xdr:rowOff>0</xdr:rowOff>
              </from>
              <to>
                <xdr:col>12</xdr:col>
                <xdr:colOff>685800</xdr:colOff>
                <xdr:row>77</xdr:row>
                <xdr:rowOff>0</xdr:rowOff>
              </to>
            </anchor>
          </controlPr>
        </control>
      </mc:Choice>
    </mc:AlternateContent>
    <mc:AlternateContent xmlns:mc="http://schemas.openxmlformats.org/markup-compatibility/2006">
      <mc:Choice Requires="x14">
        <control shapeId="137281" r:id="rId69" name="ChangeMember1_2">
          <controlPr defaultSize="0" print="0" autoFill="0" autoPict="0" macro="_xll.FPMXLClient.TechnicalCategory.ButtonActionInEPMClientFormattingSheet">
            <anchor moveWithCells="1">
              <from>
                <xdr:col>12</xdr:col>
                <xdr:colOff>704850</xdr:colOff>
                <xdr:row>76</xdr:row>
                <xdr:rowOff>0</xdr:rowOff>
              </from>
              <to>
                <xdr:col>13</xdr:col>
                <xdr:colOff>679450</xdr:colOff>
                <xdr:row>77</xdr:row>
                <xdr:rowOff>0</xdr:rowOff>
              </to>
            </anchor>
          </controlPr>
        </control>
      </mc:Choice>
    </mc:AlternateContent>
    <mc:AlternateContent xmlns:mc="http://schemas.openxmlformats.org/markup-compatibility/2006">
      <mc:Choice Requires="x14">
        <control shapeId="137282" r:id="rId70" name="UpMember1_2">
          <controlPr defaultSize="0" print="0" autoFill="0" autoPict="0" macro="_xll.FPMXLClient.TechnicalCategory.ButtonActionInEPMClientFormattingSheet">
            <anchor moveWithCells="1">
              <from>
                <xdr:col>14</xdr:col>
                <xdr:colOff>0</xdr:colOff>
                <xdr:row>76</xdr:row>
                <xdr:rowOff>0</xdr:rowOff>
              </from>
              <to>
                <xdr:col>14</xdr:col>
                <xdr:colOff>685800</xdr:colOff>
                <xdr:row>77</xdr:row>
                <xdr:rowOff>0</xdr:rowOff>
              </to>
            </anchor>
          </controlPr>
        </control>
      </mc:Choice>
    </mc:AlternateContent>
    <mc:AlternateContent xmlns:mc="http://schemas.openxmlformats.org/markup-compatibility/2006">
      <mc:Choice Requires="x14">
        <control shapeId="137283" r:id="rId71" name="DownMember1_2">
          <controlPr defaultSize="0" print="0" autoFill="0" autoPict="0" macro="_xll.FPMXLClient.TechnicalCategory.ButtonActionInEPMClientFormattingSheet">
            <anchor moveWithCells="1">
              <from>
                <xdr:col>15</xdr:col>
                <xdr:colOff>0</xdr:colOff>
                <xdr:row>76</xdr:row>
                <xdr:rowOff>0</xdr:rowOff>
              </from>
              <to>
                <xdr:col>15</xdr:col>
                <xdr:colOff>685800</xdr:colOff>
                <xdr:row>77</xdr:row>
                <xdr:rowOff>0</xdr:rowOff>
              </to>
            </anchor>
          </controlPr>
        </control>
      </mc:Choice>
    </mc:AlternateContent>
    <mc:AlternateContent xmlns:mc="http://schemas.openxmlformats.org/markup-compatibility/2006">
      <mc:Choice Requires="x14">
        <control shapeId="137285" r:id="rId72" name="AddedMember1_3">
          <controlPr defaultSize="0" print="0" autoFill="0" autoPict="0" macro="_xll.FPMXLClient.TechnicalCategory.ButtonActionInEPMClientFormattingSheet">
            <anchor moveWithCells="1">
              <from>
                <xdr:col>12</xdr:col>
                <xdr:colOff>0</xdr:colOff>
                <xdr:row>78</xdr:row>
                <xdr:rowOff>50800</xdr:rowOff>
              </from>
              <to>
                <xdr:col>12</xdr:col>
                <xdr:colOff>685800</xdr:colOff>
                <xdr:row>79</xdr:row>
                <xdr:rowOff>190500</xdr:rowOff>
              </to>
            </anchor>
          </controlPr>
        </control>
      </mc:Choice>
    </mc:AlternateContent>
    <mc:AlternateContent xmlns:mc="http://schemas.openxmlformats.org/markup-compatibility/2006">
      <mc:Choice Requires="x14">
        <control shapeId="137286" r:id="rId73" name="ChangeMember1_3">
          <controlPr defaultSize="0" print="0" autoFill="0" autoPict="0" macro="_xll.FPMXLClient.TechnicalCategory.ButtonActionInEPMClientFormattingSheet">
            <anchor moveWithCells="1">
              <from>
                <xdr:col>12</xdr:col>
                <xdr:colOff>704850</xdr:colOff>
                <xdr:row>78</xdr:row>
                <xdr:rowOff>50800</xdr:rowOff>
              </from>
              <to>
                <xdr:col>13</xdr:col>
                <xdr:colOff>679450</xdr:colOff>
                <xdr:row>79</xdr:row>
                <xdr:rowOff>190500</xdr:rowOff>
              </to>
            </anchor>
          </controlPr>
        </control>
      </mc:Choice>
    </mc:AlternateContent>
    <mc:AlternateContent xmlns:mc="http://schemas.openxmlformats.org/markup-compatibility/2006">
      <mc:Choice Requires="x14">
        <control shapeId="137287" r:id="rId74" name="UpMember1_3">
          <controlPr defaultSize="0" print="0" autoFill="0" autoPict="0" macro="_xll.FPMXLClient.TechnicalCategory.ButtonActionInEPMClientFormattingSheet">
            <anchor moveWithCells="1">
              <from>
                <xdr:col>14</xdr:col>
                <xdr:colOff>0</xdr:colOff>
                <xdr:row>78</xdr:row>
                <xdr:rowOff>50800</xdr:rowOff>
              </from>
              <to>
                <xdr:col>14</xdr:col>
                <xdr:colOff>685800</xdr:colOff>
                <xdr:row>79</xdr:row>
                <xdr:rowOff>190500</xdr:rowOff>
              </to>
            </anchor>
          </controlPr>
        </control>
      </mc:Choice>
    </mc:AlternateContent>
    <mc:AlternateContent xmlns:mc="http://schemas.openxmlformats.org/markup-compatibility/2006">
      <mc:Choice Requires="x14">
        <control shapeId="137288" r:id="rId75" name="DownMember1_3">
          <controlPr defaultSize="0" print="0" autoFill="0" autoPict="0" macro="_xll.FPMXLClient.TechnicalCategory.ButtonActionInEPMClientFormattingSheet">
            <anchor moveWithCells="1">
              <from>
                <xdr:col>15</xdr:col>
                <xdr:colOff>0</xdr:colOff>
                <xdr:row>78</xdr:row>
                <xdr:rowOff>50800</xdr:rowOff>
              </from>
              <to>
                <xdr:col>15</xdr:col>
                <xdr:colOff>685800</xdr:colOff>
                <xdr:row>79</xdr:row>
                <xdr:rowOff>190500</xdr:rowOff>
              </to>
            </anchor>
          </controlPr>
        </control>
      </mc:Choice>
    </mc:AlternateContent>
    <mc:AlternateContent xmlns:mc="http://schemas.openxmlformats.org/markup-compatibility/2006">
      <mc:Choice Requires="x14">
        <control shapeId="137290" r:id="rId76" name="AddedMember1_4">
          <controlPr defaultSize="0" print="0" autoFill="0" autoPict="0" macro="_xll.FPMXLClient.TechnicalCategory.ButtonActionInEPMClientFormattingSheet">
            <anchor moveWithCells="1">
              <from>
                <xdr:col>12</xdr:col>
                <xdr:colOff>0</xdr:colOff>
                <xdr:row>81</xdr:row>
                <xdr:rowOff>50800</xdr:rowOff>
              </from>
              <to>
                <xdr:col>12</xdr:col>
                <xdr:colOff>685800</xdr:colOff>
                <xdr:row>83</xdr:row>
                <xdr:rowOff>0</xdr:rowOff>
              </to>
            </anchor>
          </controlPr>
        </control>
      </mc:Choice>
    </mc:AlternateContent>
    <mc:AlternateContent xmlns:mc="http://schemas.openxmlformats.org/markup-compatibility/2006">
      <mc:Choice Requires="x14">
        <control shapeId="137291" r:id="rId77" name="ChangeMember1_4">
          <controlPr defaultSize="0" print="0" autoFill="0" autoPict="0" macro="_xll.FPMXLClient.TechnicalCategory.ButtonActionInEPMClientFormattingSheet">
            <anchor moveWithCells="1">
              <from>
                <xdr:col>12</xdr:col>
                <xdr:colOff>704850</xdr:colOff>
                <xdr:row>81</xdr:row>
                <xdr:rowOff>50800</xdr:rowOff>
              </from>
              <to>
                <xdr:col>13</xdr:col>
                <xdr:colOff>679450</xdr:colOff>
                <xdr:row>83</xdr:row>
                <xdr:rowOff>0</xdr:rowOff>
              </to>
            </anchor>
          </controlPr>
        </control>
      </mc:Choice>
    </mc:AlternateContent>
    <mc:AlternateContent xmlns:mc="http://schemas.openxmlformats.org/markup-compatibility/2006">
      <mc:Choice Requires="x14">
        <control shapeId="137292" r:id="rId78" name="UpMember1_4">
          <controlPr defaultSize="0" print="0" autoFill="0" autoPict="0" macro="_xll.FPMXLClient.TechnicalCategory.ButtonActionInEPMClientFormattingSheet">
            <anchor moveWithCells="1">
              <from>
                <xdr:col>14</xdr:col>
                <xdr:colOff>0</xdr:colOff>
                <xdr:row>81</xdr:row>
                <xdr:rowOff>50800</xdr:rowOff>
              </from>
              <to>
                <xdr:col>14</xdr:col>
                <xdr:colOff>685800</xdr:colOff>
                <xdr:row>83</xdr:row>
                <xdr:rowOff>0</xdr:rowOff>
              </to>
            </anchor>
          </controlPr>
        </control>
      </mc:Choice>
    </mc:AlternateContent>
    <mc:AlternateContent xmlns:mc="http://schemas.openxmlformats.org/markup-compatibility/2006">
      <mc:Choice Requires="x14">
        <control shapeId="137293" r:id="rId79" name="DownMember1_4">
          <controlPr defaultSize="0" print="0" autoFill="0" autoPict="0" macro="_xll.FPMXLClient.TechnicalCategory.ButtonActionInEPMClientFormattingSheet">
            <anchor moveWithCells="1">
              <from>
                <xdr:col>15</xdr:col>
                <xdr:colOff>0</xdr:colOff>
                <xdr:row>81</xdr:row>
                <xdr:rowOff>50800</xdr:rowOff>
              </from>
              <to>
                <xdr:col>15</xdr:col>
                <xdr:colOff>685800</xdr:colOff>
                <xdr:row>83</xdr:row>
                <xdr:rowOff>0</xdr:rowOff>
              </to>
            </anchor>
          </controlPr>
        </control>
      </mc:Choice>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6EB7-6DD4-4483-8C66-604AB9EDE880}">
  <sheetPr codeName="Sheet11"/>
  <dimension ref="A1:AB154"/>
  <sheetViews>
    <sheetView showGridLines="0" topLeftCell="A35" zoomScale="85" zoomScaleNormal="85" workbookViewId="0">
      <selection activeCell="H86" sqref="H86"/>
    </sheetView>
  </sheetViews>
  <sheetFormatPr defaultColWidth="9.1796875" defaultRowHeight="14" x14ac:dyDescent="0.3"/>
  <cols>
    <col min="1" max="1" width="1.7265625" style="4" customWidth="1"/>
    <col min="2" max="2" width="12.7265625" style="4" customWidth="1"/>
    <col min="3" max="3" width="15.7265625" style="4" customWidth="1"/>
    <col min="4" max="4" width="64.7265625" style="4" customWidth="1"/>
    <col min="5" max="5" width="3.26953125" style="4" customWidth="1"/>
    <col min="6" max="6" width="14.26953125" style="4" customWidth="1"/>
    <col min="7" max="7" width="3.26953125" style="4" customWidth="1"/>
    <col min="8" max="8" width="30.7265625" style="4" customWidth="1"/>
    <col min="9" max="9" width="3.26953125" style="4" customWidth="1"/>
    <col min="10" max="10" width="14.26953125" style="4" customWidth="1"/>
    <col min="11" max="11" width="3.26953125" style="4" customWidth="1"/>
    <col min="12" max="12" width="36.7265625" style="4" customWidth="1"/>
    <col min="13" max="16" width="10.7265625" style="4" customWidth="1"/>
    <col min="17" max="17" width="90.7265625" style="4" customWidth="1"/>
    <col min="18" max="27" width="9.1796875" style="4"/>
    <col min="28" max="28" width="21.1796875" style="4" bestFit="1" customWidth="1"/>
    <col min="29" max="16384" width="9.1796875" style="4"/>
  </cols>
  <sheetData>
    <row r="1" spans="1:28" ht="42" customHeight="1" x14ac:dyDescent="0.3">
      <c r="A1" s="5"/>
      <c r="B1" s="138" t="s">
        <v>0</v>
      </c>
      <c r="C1" s="138"/>
      <c r="D1" s="138"/>
      <c r="E1" s="138"/>
      <c r="F1" s="138"/>
      <c r="G1" s="138"/>
      <c r="H1" s="138"/>
      <c r="I1" s="138"/>
      <c r="J1" s="138"/>
      <c r="K1" s="138"/>
      <c r="L1" s="138"/>
      <c r="AA1" s="3">
        <v>1</v>
      </c>
      <c r="AB1" s="3" t="b">
        <v>0</v>
      </c>
    </row>
    <row r="2" spans="1:28" ht="15.75" customHeight="1" x14ac:dyDescent="0.3">
      <c r="A2" s="41" t="s">
        <v>32</v>
      </c>
      <c r="B2" s="5"/>
      <c r="C2" s="5"/>
      <c r="D2" s="5"/>
      <c r="E2" s="5"/>
      <c r="F2" s="5"/>
      <c r="G2" s="5"/>
      <c r="H2" s="5"/>
      <c r="I2" s="5"/>
      <c r="J2" s="5"/>
      <c r="K2" s="5"/>
      <c r="L2" s="5"/>
    </row>
    <row r="3" spans="1:28" ht="15.75" customHeight="1" x14ac:dyDescent="0.3">
      <c r="A3" s="5"/>
      <c r="B3" s="6" t="s">
        <v>1</v>
      </c>
      <c r="C3" s="5"/>
      <c r="D3" s="5"/>
      <c r="E3" s="5"/>
      <c r="F3" s="5"/>
      <c r="G3" s="5"/>
      <c r="H3" s="5"/>
      <c r="I3" s="5"/>
      <c r="J3" s="5"/>
      <c r="K3" s="5"/>
      <c r="L3" s="5"/>
    </row>
    <row r="4" spans="1:28" ht="18" customHeight="1" thickBot="1" x14ac:dyDescent="0.35">
      <c r="A4" s="5"/>
      <c r="B4" s="5"/>
      <c r="C4" s="5"/>
      <c r="D4" s="5"/>
      <c r="E4" s="5"/>
      <c r="F4" s="5"/>
      <c r="G4" s="5"/>
      <c r="H4" s="5"/>
      <c r="I4" s="5"/>
      <c r="J4" s="5"/>
      <c r="K4" s="5"/>
      <c r="L4" s="5"/>
    </row>
    <row r="5" spans="1:28" ht="28.4" customHeight="1" x14ac:dyDescent="0.3">
      <c r="A5" s="5"/>
      <c r="B5" s="139" t="s">
        <v>2</v>
      </c>
      <c r="C5" s="140"/>
      <c r="D5" s="140"/>
      <c r="E5" s="140"/>
      <c r="F5" s="140"/>
      <c r="G5" s="140"/>
      <c r="H5" s="140"/>
      <c r="I5" s="140"/>
      <c r="J5" s="140"/>
      <c r="K5" s="140"/>
      <c r="L5" s="141"/>
      <c r="Q5" s="35" t="s">
        <v>25</v>
      </c>
    </row>
    <row r="6" spans="1:28" ht="28.4" customHeight="1" x14ac:dyDescent="0.3">
      <c r="A6" s="5"/>
      <c r="B6" s="142"/>
      <c r="C6" s="143"/>
      <c r="D6" s="143"/>
      <c r="E6" s="143"/>
      <c r="F6" s="143"/>
      <c r="G6" s="143"/>
      <c r="H6" s="143"/>
      <c r="I6" s="143"/>
      <c r="J6" s="143"/>
      <c r="K6" s="143"/>
      <c r="L6" s="144"/>
      <c r="Q6" s="36" t="s">
        <v>26</v>
      </c>
    </row>
    <row r="7" spans="1:28" ht="21.75" customHeight="1" x14ac:dyDescent="0.3">
      <c r="A7" s="5"/>
      <c r="B7" s="124" t="s">
        <v>6</v>
      </c>
      <c r="C7" s="5"/>
      <c r="D7" s="5"/>
      <c r="E7" s="5"/>
      <c r="F7" s="5"/>
      <c r="G7" s="5"/>
      <c r="H7" s="5"/>
      <c r="I7" s="5"/>
      <c r="J7" s="5"/>
      <c r="K7" s="5"/>
      <c r="L7" s="16"/>
      <c r="Q7" s="111" t="s">
        <v>28</v>
      </c>
    </row>
    <row r="8" spans="1:28" ht="18" customHeight="1" x14ac:dyDescent="0.3">
      <c r="A8" s="5"/>
      <c r="B8" s="125"/>
      <c r="C8" s="5"/>
      <c r="D8" s="5"/>
      <c r="E8" s="5"/>
      <c r="F8" s="5"/>
      <c r="G8" s="5"/>
      <c r="H8" s="5"/>
      <c r="I8" s="5"/>
      <c r="J8" s="5"/>
      <c r="K8" s="5"/>
      <c r="L8" s="16"/>
      <c r="Q8" s="111"/>
    </row>
    <row r="9" spans="1:28" ht="17.149999999999999" customHeight="1" x14ac:dyDescent="0.3">
      <c r="A9" s="5"/>
      <c r="B9" s="125"/>
      <c r="C9" s="8"/>
      <c r="D9" s="9"/>
      <c r="E9" s="115" t="s">
        <v>3</v>
      </c>
      <c r="F9" s="116"/>
      <c r="G9" s="117"/>
      <c r="H9" s="7" t="s">
        <v>4</v>
      </c>
      <c r="I9" s="115" t="s">
        <v>5</v>
      </c>
      <c r="J9" s="116"/>
      <c r="K9" s="117"/>
      <c r="L9" s="17" t="s">
        <v>4</v>
      </c>
      <c r="Q9" s="111"/>
    </row>
    <row r="10" spans="1:28" ht="5.15" customHeight="1" x14ac:dyDescent="0.3">
      <c r="A10" s="5"/>
      <c r="B10" s="125"/>
      <c r="C10" s="112"/>
      <c r="D10" s="5"/>
      <c r="E10" s="18"/>
      <c r="F10" s="18"/>
      <c r="G10" s="18"/>
      <c r="H10" s="12"/>
      <c r="I10" s="18"/>
      <c r="J10" s="18"/>
      <c r="K10" s="18"/>
      <c r="L10" s="16"/>
      <c r="Q10" s="111"/>
    </row>
    <row r="11" spans="1:28" ht="15.75" customHeight="1" x14ac:dyDescent="0.3">
      <c r="A11" s="5"/>
      <c r="B11" s="125"/>
      <c r="C11" s="113"/>
      <c r="D11" s="19" t="s">
        <v>7</v>
      </c>
      <c r="E11" s="18"/>
      <c r="F11" s="79">
        <v>10000</v>
      </c>
      <c r="G11" s="18"/>
      <c r="H11" s="13" t="s">
        <v>8</v>
      </c>
      <c r="I11" s="18"/>
      <c r="J11" s="80" t="s">
        <v>9</v>
      </c>
      <c r="K11" s="18"/>
      <c r="L11" s="22" t="s">
        <v>8</v>
      </c>
      <c r="Q11" s="111"/>
    </row>
    <row r="12" spans="1:28" ht="5.15" customHeight="1" x14ac:dyDescent="0.3">
      <c r="A12" s="5"/>
      <c r="B12" s="125"/>
      <c r="C12" s="114"/>
      <c r="D12" s="10"/>
      <c r="E12" s="11"/>
      <c r="F12" s="11"/>
      <c r="G12" s="11"/>
      <c r="H12" s="9"/>
      <c r="I12" s="11"/>
      <c r="J12" s="11"/>
      <c r="K12" s="11"/>
      <c r="L12" s="23"/>
      <c r="Q12" s="111"/>
    </row>
    <row r="13" spans="1:28" ht="5.15" customHeight="1" x14ac:dyDescent="0.3">
      <c r="A13" s="5"/>
      <c r="B13" s="125"/>
      <c r="C13" s="113"/>
      <c r="D13" s="5"/>
      <c r="E13" s="18"/>
      <c r="F13" s="18"/>
      <c r="G13" s="18"/>
      <c r="H13" s="14"/>
      <c r="I13" s="18"/>
      <c r="J13" s="18"/>
      <c r="K13" s="18"/>
      <c r="L13" s="16"/>
      <c r="Q13" s="111"/>
    </row>
    <row r="14" spans="1:28" ht="15.75" customHeight="1" x14ac:dyDescent="0.3">
      <c r="A14" s="5"/>
      <c r="B14" s="125"/>
      <c r="C14" s="113"/>
      <c r="D14" s="19" t="s">
        <v>10</v>
      </c>
      <c r="E14" s="18"/>
      <c r="F14" s="20">
        <v>10000</v>
      </c>
      <c r="G14" s="18"/>
      <c r="H14" s="13" t="s">
        <v>8</v>
      </c>
      <c r="I14" s="18"/>
      <c r="J14" s="21" t="s">
        <v>9</v>
      </c>
      <c r="K14" s="18"/>
      <c r="L14" s="22" t="s">
        <v>8</v>
      </c>
      <c r="Q14" s="111"/>
    </row>
    <row r="15" spans="1:28" ht="5.15" customHeight="1" x14ac:dyDescent="0.3">
      <c r="A15" s="5"/>
      <c r="B15" s="125"/>
      <c r="C15" s="114"/>
      <c r="D15" s="10"/>
      <c r="E15" s="11"/>
      <c r="F15" s="11"/>
      <c r="G15" s="11"/>
      <c r="H15" s="9"/>
      <c r="I15" s="11"/>
      <c r="J15" s="11"/>
      <c r="K15" s="11"/>
      <c r="L15" s="23"/>
      <c r="Q15" s="111"/>
    </row>
    <row r="16" spans="1:28" ht="11.15" customHeight="1" x14ac:dyDescent="0.3">
      <c r="A16" s="5"/>
      <c r="B16" s="125"/>
      <c r="C16" s="113"/>
      <c r="D16" s="137" t="s">
        <v>11</v>
      </c>
      <c r="E16" s="18"/>
      <c r="F16" s="18"/>
      <c r="G16" s="18"/>
      <c r="H16" s="14"/>
      <c r="I16" s="18"/>
      <c r="J16" s="18"/>
      <c r="K16" s="18"/>
      <c r="L16" s="16"/>
      <c r="Q16" s="111"/>
    </row>
    <row r="17" spans="1:17" ht="11.15" customHeight="1" x14ac:dyDescent="0.3">
      <c r="A17" s="5"/>
      <c r="B17" s="125"/>
      <c r="C17" s="113"/>
      <c r="D17" s="137"/>
      <c r="E17" s="18"/>
      <c r="F17" s="18"/>
      <c r="G17" s="18"/>
      <c r="H17" s="14"/>
      <c r="I17" s="18"/>
      <c r="J17" s="18"/>
      <c r="K17" s="18"/>
      <c r="L17" s="16"/>
      <c r="Q17" s="111"/>
    </row>
    <row r="18" spans="1:17" ht="15.75" customHeight="1" x14ac:dyDescent="0.3">
      <c r="A18" s="5"/>
      <c r="B18" s="125"/>
      <c r="C18" s="15"/>
      <c r="D18" s="24" t="str">
        <f>IF(AA1=2, "Level 1", IF(AB1=TRUE, IF(A26-1=0, "Lowest Level","Lowest Level -"&amp;(A26-1)), "Level 1"))</f>
        <v>Level 1</v>
      </c>
      <c r="E18" s="18"/>
      <c r="F18" s="20">
        <v>10000</v>
      </c>
      <c r="G18" s="18"/>
      <c r="H18" s="13" t="s">
        <v>8</v>
      </c>
      <c r="I18" s="18"/>
      <c r="J18" s="21" t="s">
        <v>9</v>
      </c>
      <c r="K18" s="18"/>
      <c r="L18" s="22" t="s">
        <v>8</v>
      </c>
      <c r="Q18" s="111"/>
    </row>
    <row r="19" spans="1:17" ht="5.15" customHeight="1" x14ac:dyDescent="0.3">
      <c r="A19" s="5"/>
      <c r="B19" s="125"/>
      <c r="C19" s="15"/>
      <c r="D19" s="10"/>
      <c r="E19" s="11"/>
      <c r="F19" s="11"/>
      <c r="G19" s="11"/>
      <c r="H19" s="9"/>
      <c r="I19" s="11"/>
      <c r="J19" s="11"/>
      <c r="K19" s="11"/>
      <c r="L19" s="23"/>
      <c r="Q19" s="111"/>
    </row>
    <row r="20" spans="1:17" ht="5.15" customHeight="1" x14ac:dyDescent="0.35">
      <c r="A20" s="5"/>
      <c r="B20" s="125"/>
      <c r="C20" s="15"/>
      <c r="D20" s="5"/>
      <c r="E20" s="18"/>
      <c r="F20" s="18"/>
      <c r="G20" s="18"/>
      <c r="H20" s="14"/>
      <c r="I20" s="18"/>
      <c r="J20" s="18"/>
      <c r="K20" s="18"/>
      <c r="L20" s="16"/>
      <c r="Q20" s="37"/>
    </row>
    <row r="21" spans="1:17" ht="15.75" customHeight="1" x14ac:dyDescent="0.3">
      <c r="A21" s="5"/>
      <c r="B21" s="125"/>
      <c r="C21" s="15"/>
      <c r="D21" s="25" t="str">
        <f>IF(AA1=2, "Level 2", IF(AB1=TRUE, IF(A26-2=0, "Lowest Level","Lowest Level -"&amp;(A26-2)), "Level 2"))</f>
        <v>Level 2</v>
      </c>
      <c r="E21" s="18"/>
      <c r="F21" s="20">
        <v>10000</v>
      </c>
      <c r="G21" s="18"/>
      <c r="H21" s="13" t="s">
        <v>8</v>
      </c>
      <c r="I21" s="18"/>
      <c r="J21" s="21" t="s">
        <v>9</v>
      </c>
      <c r="K21" s="18"/>
      <c r="L21" s="22" t="s">
        <v>8</v>
      </c>
      <c r="Q21" s="38" t="s">
        <v>29</v>
      </c>
    </row>
    <row r="22" spans="1:17" ht="5.15" customHeight="1" x14ac:dyDescent="0.3">
      <c r="A22" s="5"/>
      <c r="B22" s="125"/>
      <c r="C22" s="15"/>
      <c r="D22" s="10"/>
      <c r="E22" s="11"/>
      <c r="F22" s="11"/>
      <c r="G22" s="11"/>
      <c r="H22" s="9"/>
      <c r="I22" s="11"/>
      <c r="J22" s="11"/>
      <c r="K22" s="11"/>
      <c r="L22" s="23"/>
      <c r="Q22" s="111" t="s">
        <v>30</v>
      </c>
    </row>
    <row r="23" spans="1:17" ht="5.15" customHeight="1" x14ac:dyDescent="0.3">
      <c r="A23" s="5"/>
      <c r="B23" s="125"/>
      <c r="C23" s="15"/>
      <c r="D23" s="5"/>
      <c r="E23" s="18"/>
      <c r="F23" s="18"/>
      <c r="G23" s="18"/>
      <c r="H23" s="14"/>
      <c r="I23" s="18"/>
      <c r="J23" s="18"/>
      <c r="K23" s="18"/>
      <c r="L23" s="16"/>
      <c r="Q23" s="111"/>
    </row>
    <row r="24" spans="1:17" ht="15.75" customHeight="1" x14ac:dyDescent="0.3">
      <c r="A24" s="5"/>
      <c r="B24" s="125"/>
      <c r="C24" s="15"/>
      <c r="D24" s="26" t="str">
        <f>IF(AA1=2, "Level 3", IF(AB1=TRUE, IF(A26-3=0, "Lowest Level","Lowest Level -"&amp;(A26-3)), "Level 3"))</f>
        <v>Level 3</v>
      </c>
      <c r="E24" s="18"/>
      <c r="F24" s="20">
        <v>10000</v>
      </c>
      <c r="G24" s="18"/>
      <c r="H24" s="13" t="s">
        <v>8</v>
      </c>
      <c r="I24" s="18"/>
      <c r="J24" s="21" t="s">
        <v>9</v>
      </c>
      <c r="K24" s="18"/>
      <c r="L24" s="22" t="s">
        <v>8</v>
      </c>
      <c r="Q24" s="111"/>
    </row>
    <row r="25" spans="1:17" ht="5.15" customHeight="1" x14ac:dyDescent="0.3">
      <c r="A25" s="5"/>
      <c r="B25" s="125"/>
      <c r="C25" s="15"/>
      <c r="D25" s="10"/>
      <c r="E25" s="11"/>
      <c r="F25" s="11"/>
      <c r="G25" s="11"/>
      <c r="H25" s="9"/>
      <c r="I25" s="11"/>
      <c r="J25" s="11"/>
      <c r="K25" s="11"/>
      <c r="L25" s="23"/>
      <c r="Q25" s="111"/>
    </row>
    <row r="26" spans="1:17" ht="22" customHeight="1" x14ac:dyDescent="0.3">
      <c r="A26" s="5">
        <v>3</v>
      </c>
      <c r="B26" s="125"/>
      <c r="C26" s="15"/>
      <c r="D26" s="5"/>
      <c r="E26" s="5"/>
      <c r="F26" s="5"/>
      <c r="G26" s="5"/>
      <c r="H26" s="5"/>
      <c r="I26" s="5"/>
      <c r="J26" s="5"/>
      <c r="K26" s="5"/>
      <c r="L26" s="16"/>
      <c r="Q26" s="111"/>
    </row>
    <row r="27" spans="1:17" ht="5.15" customHeight="1" thickBot="1" x14ac:dyDescent="0.35">
      <c r="A27" s="5"/>
      <c r="B27" s="132"/>
      <c r="C27" s="27"/>
      <c r="D27" s="28"/>
      <c r="E27" s="28"/>
      <c r="F27" s="28"/>
      <c r="G27" s="28"/>
      <c r="H27" s="28"/>
      <c r="I27" s="28"/>
      <c r="J27" s="28"/>
      <c r="K27" s="28"/>
      <c r="L27" s="29"/>
      <c r="Q27" s="111"/>
    </row>
    <row r="28" spans="1:17" ht="21.75" customHeight="1" x14ac:dyDescent="0.3">
      <c r="A28" s="5"/>
      <c r="B28" s="136" t="s">
        <v>12</v>
      </c>
      <c r="C28" s="30"/>
      <c r="D28" s="30"/>
      <c r="E28" s="30"/>
      <c r="F28" s="30"/>
      <c r="G28" s="30"/>
      <c r="H28" s="30"/>
      <c r="I28" s="30"/>
      <c r="J28" s="30"/>
      <c r="K28" s="30"/>
      <c r="L28" s="31"/>
      <c r="Q28" s="111"/>
    </row>
    <row r="29" spans="1:17" ht="18" customHeight="1" x14ac:dyDescent="0.3">
      <c r="A29" s="5"/>
      <c r="B29" s="125"/>
      <c r="C29" s="5"/>
      <c r="D29" s="5"/>
      <c r="E29" s="5"/>
      <c r="F29" s="5"/>
      <c r="G29" s="5"/>
      <c r="H29" s="5"/>
      <c r="I29" s="5"/>
      <c r="J29" s="5"/>
      <c r="K29" s="5"/>
      <c r="L29" s="16"/>
      <c r="Q29" s="111"/>
    </row>
    <row r="30" spans="1:17" ht="17.149999999999999" customHeight="1" x14ac:dyDescent="0.35">
      <c r="A30" s="5"/>
      <c r="B30" s="125"/>
      <c r="C30" s="8"/>
      <c r="D30" s="9"/>
      <c r="E30" s="115" t="s">
        <v>3</v>
      </c>
      <c r="F30" s="116"/>
      <c r="G30" s="117"/>
      <c r="H30" s="7" t="s">
        <v>4</v>
      </c>
      <c r="I30" s="115" t="s">
        <v>5</v>
      </c>
      <c r="J30" s="116"/>
      <c r="K30" s="117"/>
      <c r="L30" s="17" t="s">
        <v>4</v>
      </c>
      <c r="Q30" s="37"/>
    </row>
    <row r="31" spans="1:17" ht="5.15" customHeight="1" x14ac:dyDescent="0.35">
      <c r="A31" s="5"/>
      <c r="B31" s="125"/>
      <c r="C31" s="112"/>
      <c r="D31" s="5"/>
      <c r="E31" s="18"/>
      <c r="F31" s="18"/>
      <c r="G31" s="18"/>
      <c r="H31" s="12"/>
      <c r="I31" s="18"/>
      <c r="J31" s="18"/>
      <c r="K31" s="18"/>
      <c r="L31" s="16"/>
      <c r="Q31" s="37"/>
    </row>
    <row r="32" spans="1:17" ht="15.75" customHeight="1" x14ac:dyDescent="0.3">
      <c r="A32" s="5"/>
      <c r="B32" s="125"/>
      <c r="C32" s="113"/>
      <c r="D32" s="19" t="s">
        <v>7</v>
      </c>
      <c r="E32" s="18"/>
      <c r="F32" s="79">
        <v>10000</v>
      </c>
      <c r="G32" s="18"/>
      <c r="H32" s="13" t="s">
        <v>8</v>
      </c>
      <c r="I32" s="18"/>
      <c r="J32" s="86" t="s">
        <v>9</v>
      </c>
      <c r="K32" s="18"/>
      <c r="L32" s="22" t="s">
        <v>8</v>
      </c>
      <c r="Q32" s="39" t="s">
        <v>27</v>
      </c>
    </row>
    <row r="33" spans="1:17" ht="5.15" customHeight="1" x14ac:dyDescent="0.3">
      <c r="A33" s="5"/>
      <c r="B33" s="125"/>
      <c r="C33" s="114"/>
      <c r="D33" s="10"/>
      <c r="E33" s="11"/>
      <c r="F33" s="11"/>
      <c r="G33" s="11"/>
      <c r="H33" s="9"/>
      <c r="I33" s="11"/>
      <c r="J33" s="11"/>
      <c r="K33" s="11"/>
      <c r="L33" s="23"/>
      <c r="Q33" s="111" t="s">
        <v>31</v>
      </c>
    </row>
    <row r="34" spans="1:17" ht="5.15" customHeight="1" x14ac:dyDescent="0.3">
      <c r="A34" s="5"/>
      <c r="B34" s="125"/>
      <c r="C34" s="113"/>
      <c r="D34" s="5"/>
      <c r="E34" s="18"/>
      <c r="F34" s="18"/>
      <c r="G34" s="18"/>
      <c r="H34" s="14"/>
      <c r="I34" s="18"/>
      <c r="J34" s="18"/>
      <c r="K34" s="18"/>
      <c r="L34" s="16"/>
      <c r="Q34" s="111"/>
    </row>
    <row r="35" spans="1:17" ht="15.75" customHeight="1" x14ac:dyDescent="0.3">
      <c r="A35" s="5"/>
      <c r="B35" s="125"/>
      <c r="C35" s="113"/>
      <c r="D35" s="19" t="s">
        <v>10</v>
      </c>
      <c r="E35" s="18"/>
      <c r="F35" s="20">
        <v>10000</v>
      </c>
      <c r="G35" s="18"/>
      <c r="H35" s="13" t="s">
        <v>8</v>
      </c>
      <c r="I35" s="18"/>
      <c r="J35" s="21" t="s">
        <v>9</v>
      </c>
      <c r="K35" s="18"/>
      <c r="L35" s="22" t="s">
        <v>8</v>
      </c>
      <c r="Q35" s="111"/>
    </row>
    <row r="36" spans="1:17" ht="5.15" customHeight="1" x14ac:dyDescent="0.3">
      <c r="A36" s="5"/>
      <c r="B36" s="125"/>
      <c r="C36" s="114"/>
      <c r="D36" s="10"/>
      <c r="E36" s="11"/>
      <c r="F36" s="11"/>
      <c r="G36" s="11"/>
      <c r="H36" s="9"/>
      <c r="I36" s="11"/>
      <c r="J36" s="11"/>
      <c r="K36" s="11"/>
      <c r="L36" s="23"/>
      <c r="Q36" s="111"/>
    </row>
    <row r="37" spans="1:17" ht="11.15" customHeight="1" x14ac:dyDescent="0.3">
      <c r="A37" s="5"/>
      <c r="B37" s="125"/>
      <c r="C37" s="113"/>
      <c r="D37" s="137" t="s">
        <v>11</v>
      </c>
      <c r="E37" s="18"/>
      <c r="F37" s="18"/>
      <c r="G37" s="18"/>
      <c r="H37" s="14"/>
      <c r="I37" s="18"/>
      <c r="J37" s="18"/>
      <c r="K37" s="18"/>
      <c r="L37" s="16"/>
      <c r="Q37" s="111"/>
    </row>
    <row r="38" spans="1:17" ht="11.15" customHeight="1" x14ac:dyDescent="0.3">
      <c r="A38" s="5"/>
      <c r="B38" s="125"/>
      <c r="C38" s="113"/>
      <c r="D38" s="137"/>
      <c r="E38" s="18"/>
      <c r="F38" s="18"/>
      <c r="G38" s="18"/>
      <c r="H38" s="14"/>
      <c r="I38" s="18"/>
      <c r="J38" s="18"/>
      <c r="K38" s="18"/>
      <c r="L38" s="16"/>
      <c r="Q38" s="111"/>
    </row>
    <row r="39" spans="1:17" ht="15.75" customHeight="1" x14ac:dyDescent="0.3">
      <c r="A39" s="5"/>
      <c r="B39" s="125"/>
      <c r="C39" s="15"/>
      <c r="D39" s="24" t="str">
        <f>IF(AA1=2, "Level 1", IF(AB1=TRUE, IF(A47-1=0, "Lowest Level","Lowest Level -"&amp;(A47-1)), "Level 1"))</f>
        <v>Level 1</v>
      </c>
      <c r="E39" s="18"/>
      <c r="F39" s="20">
        <v>10000</v>
      </c>
      <c r="G39" s="18"/>
      <c r="H39" s="13" t="s">
        <v>8</v>
      </c>
      <c r="I39" s="18"/>
      <c r="J39" s="21" t="s">
        <v>9</v>
      </c>
      <c r="K39" s="18"/>
      <c r="L39" s="22" t="s">
        <v>8</v>
      </c>
      <c r="Q39" s="111"/>
    </row>
    <row r="40" spans="1:17" ht="5.15" customHeight="1" x14ac:dyDescent="0.35">
      <c r="A40" s="5"/>
      <c r="B40" s="125"/>
      <c r="C40" s="15"/>
      <c r="D40" s="10"/>
      <c r="E40" s="11"/>
      <c r="F40" s="11"/>
      <c r="G40" s="11"/>
      <c r="H40" s="9"/>
      <c r="I40" s="11"/>
      <c r="J40" s="11"/>
      <c r="K40" s="11"/>
      <c r="L40" s="23"/>
      <c r="Q40" s="40"/>
    </row>
    <row r="41" spans="1:17" ht="5.15" customHeight="1" x14ac:dyDescent="0.3">
      <c r="A41" s="5"/>
      <c r="B41" s="125"/>
      <c r="C41" s="15"/>
      <c r="D41" s="5"/>
      <c r="E41" s="18"/>
      <c r="F41" s="18"/>
      <c r="G41" s="18"/>
      <c r="H41" s="14"/>
      <c r="I41" s="18"/>
      <c r="J41" s="18"/>
      <c r="K41" s="18"/>
      <c r="L41" s="16"/>
    </row>
    <row r="42" spans="1:17" ht="15.75" customHeight="1" x14ac:dyDescent="0.3">
      <c r="A42" s="5"/>
      <c r="B42" s="125"/>
      <c r="C42" s="15"/>
      <c r="D42" s="25" t="str">
        <f>IF(AA1=2, "Level 2", IF(AB1=TRUE, IF(A47-2=0, "Lowest Level","Lowest Level -"&amp;(A47-2)), "Level 2"))</f>
        <v>Level 2</v>
      </c>
      <c r="E42" s="18"/>
      <c r="F42" s="20">
        <v>10000</v>
      </c>
      <c r="G42" s="18"/>
      <c r="H42" s="13" t="s">
        <v>8</v>
      </c>
      <c r="I42" s="18"/>
      <c r="J42" s="21" t="s">
        <v>9</v>
      </c>
      <c r="K42" s="18"/>
      <c r="L42" s="22" t="s">
        <v>8</v>
      </c>
    </row>
    <row r="43" spans="1:17" ht="5.15" customHeight="1" x14ac:dyDescent="0.3">
      <c r="A43" s="5"/>
      <c r="B43" s="125"/>
      <c r="C43" s="15"/>
      <c r="D43" s="10"/>
      <c r="E43" s="11"/>
      <c r="F43" s="11"/>
      <c r="G43" s="11"/>
      <c r="H43" s="9"/>
      <c r="I43" s="11"/>
      <c r="J43" s="11"/>
      <c r="K43" s="11"/>
      <c r="L43" s="23"/>
    </row>
    <row r="44" spans="1:17" ht="5.15" customHeight="1" x14ac:dyDescent="0.3">
      <c r="A44" s="5"/>
      <c r="B44" s="125"/>
      <c r="C44" s="15"/>
      <c r="D44" s="5"/>
      <c r="E44" s="18"/>
      <c r="F44" s="18"/>
      <c r="G44" s="18"/>
      <c r="H44" s="14"/>
      <c r="I44" s="18"/>
      <c r="J44" s="18"/>
      <c r="K44" s="18"/>
      <c r="L44" s="16"/>
    </row>
    <row r="45" spans="1:17" ht="15.75" customHeight="1" x14ac:dyDescent="0.3">
      <c r="A45" s="5"/>
      <c r="B45" s="125"/>
      <c r="C45" s="15"/>
      <c r="D45" s="26" t="str">
        <f>IF(AA1=2, "Level 3", IF(AB1=TRUE, IF(A47-3=0, "Lowest Level","Lowest Level -"&amp;(A47-3)), "Level 3"))</f>
        <v>Level 3</v>
      </c>
      <c r="E45" s="18"/>
      <c r="F45" s="20">
        <v>10000</v>
      </c>
      <c r="G45" s="18"/>
      <c r="H45" s="13" t="s">
        <v>8</v>
      </c>
      <c r="I45" s="18"/>
      <c r="J45" s="21" t="s">
        <v>9</v>
      </c>
      <c r="K45" s="18"/>
      <c r="L45" s="22" t="s">
        <v>8</v>
      </c>
    </row>
    <row r="46" spans="1:17" ht="5.15" customHeight="1" x14ac:dyDescent="0.3">
      <c r="A46" s="5"/>
      <c r="B46" s="125"/>
      <c r="C46" s="15"/>
      <c r="D46" s="10"/>
      <c r="E46" s="11"/>
      <c r="F46" s="11"/>
      <c r="G46" s="11"/>
      <c r="H46" s="9"/>
      <c r="I46" s="11"/>
      <c r="J46" s="11"/>
      <c r="K46" s="11"/>
      <c r="L46" s="23"/>
    </row>
    <row r="47" spans="1:17" ht="22" customHeight="1" x14ac:dyDescent="0.3">
      <c r="A47" s="5">
        <v>3</v>
      </c>
      <c r="B47" s="125"/>
      <c r="C47" s="15"/>
      <c r="D47" s="5"/>
      <c r="E47" s="5"/>
      <c r="F47" s="5"/>
      <c r="G47" s="5"/>
      <c r="H47" s="5"/>
      <c r="I47" s="5"/>
      <c r="J47" s="5"/>
      <c r="K47" s="5"/>
      <c r="L47" s="16"/>
    </row>
    <row r="48" spans="1:17" ht="5.15" customHeight="1" thickBot="1" x14ac:dyDescent="0.35">
      <c r="A48" s="5"/>
      <c r="B48" s="132"/>
      <c r="C48" s="27"/>
      <c r="D48" s="28"/>
      <c r="E48" s="28"/>
      <c r="F48" s="28"/>
      <c r="G48" s="28"/>
      <c r="H48" s="28"/>
      <c r="I48" s="28"/>
      <c r="J48" s="28"/>
      <c r="K48" s="28"/>
      <c r="L48" s="29"/>
    </row>
    <row r="49" spans="1:12" ht="9" customHeight="1" x14ac:dyDescent="0.3">
      <c r="A49" s="5"/>
      <c r="B49" s="5"/>
      <c r="C49" s="5"/>
      <c r="D49" s="5"/>
      <c r="E49" s="5"/>
      <c r="F49" s="5"/>
      <c r="G49" s="5"/>
      <c r="H49" s="5"/>
      <c r="I49" s="5"/>
      <c r="J49" s="5"/>
      <c r="K49" s="5"/>
      <c r="L49" s="5"/>
    </row>
    <row r="50" spans="1:12" ht="24.65" customHeight="1" x14ac:dyDescent="0.3">
      <c r="A50" s="5"/>
      <c r="B50" s="5"/>
      <c r="C50" s="5"/>
      <c r="D50" s="5"/>
      <c r="E50" s="5"/>
      <c r="F50" s="5"/>
      <c r="G50" s="5"/>
      <c r="H50" s="5"/>
      <c r="I50" s="5"/>
      <c r="J50" s="5"/>
      <c r="K50" s="5"/>
      <c r="L50" s="5"/>
    </row>
    <row r="51" spans="1:12" ht="15" customHeight="1" thickBot="1" x14ac:dyDescent="0.35">
      <c r="A51" s="5"/>
      <c r="B51" s="5"/>
      <c r="C51" s="5"/>
      <c r="D51" s="5"/>
      <c r="E51" s="5"/>
      <c r="F51" s="5"/>
      <c r="G51" s="5"/>
      <c r="H51" s="5"/>
      <c r="I51" s="5"/>
      <c r="J51" s="5"/>
      <c r="K51" s="5"/>
      <c r="L51" s="5"/>
    </row>
    <row r="52" spans="1:12" ht="28.4" customHeight="1" x14ac:dyDescent="0.3">
      <c r="A52" s="5"/>
      <c r="B52" s="118" t="s">
        <v>13</v>
      </c>
      <c r="C52" s="119"/>
      <c r="D52" s="119"/>
      <c r="E52" s="119"/>
      <c r="F52" s="119"/>
      <c r="G52" s="119"/>
      <c r="H52" s="119"/>
      <c r="I52" s="119"/>
      <c r="J52" s="119"/>
      <c r="K52" s="119"/>
      <c r="L52" s="120"/>
    </row>
    <row r="53" spans="1:12" ht="28.4" customHeight="1" x14ac:dyDescent="0.3">
      <c r="A53" s="5"/>
      <c r="B53" s="121"/>
      <c r="C53" s="122"/>
      <c r="D53" s="122"/>
      <c r="E53" s="122"/>
      <c r="F53" s="122"/>
      <c r="G53" s="122"/>
      <c r="H53" s="122"/>
      <c r="I53" s="122"/>
      <c r="J53" s="122"/>
      <c r="K53" s="122"/>
      <c r="L53" s="123"/>
    </row>
    <row r="54" spans="1:12" ht="18" customHeight="1" x14ac:dyDescent="0.3">
      <c r="A54" s="5"/>
      <c r="B54" s="124" t="s">
        <v>6</v>
      </c>
      <c r="C54" s="5"/>
      <c r="D54" s="5"/>
      <c r="E54" s="5"/>
      <c r="F54" s="5"/>
      <c r="G54" s="5"/>
      <c r="H54" s="5"/>
      <c r="I54" s="5"/>
      <c r="J54" s="5"/>
      <c r="K54" s="5"/>
      <c r="L54" s="16"/>
    </row>
    <row r="55" spans="1:12" ht="17.149999999999999" customHeight="1" x14ac:dyDescent="0.3">
      <c r="A55" s="5"/>
      <c r="B55" s="125"/>
      <c r="C55" s="8"/>
      <c r="D55" s="9"/>
      <c r="E55" s="115" t="s">
        <v>3</v>
      </c>
      <c r="F55" s="116"/>
      <c r="G55" s="117"/>
      <c r="H55" s="7" t="s">
        <v>4</v>
      </c>
      <c r="I55" s="115" t="s">
        <v>5</v>
      </c>
      <c r="J55" s="116"/>
      <c r="K55" s="117"/>
      <c r="L55" s="17" t="s">
        <v>4</v>
      </c>
    </row>
    <row r="56" spans="1:12" ht="5.15" customHeight="1" x14ac:dyDescent="0.3">
      <c r="A56" s="5"/>
      <c r="B56" s="125"/>
      <c r="C56" s="112"/>
      <c r="D56" s="5"/>
      <c r="E56" s="18"/>
      <c r="F56" s="18"/>
      <c r="G56" s="18"/>
      <c r="H56" s="12"/>
      <c r="I56" s="18"/>
      <c r="J56" s="18"/>
      <c r="K56" s="18"/>
      <c r="L56" s="16"/>
    </row>
    <row r="57" spans="1:12" ht="15.75" customHeight="1" x14ac:dyDescent="0.3">
      <c r="A57" s="5"/>
      <c r="B57" s="125"/>
      <c r="C57" s="113"/>
      <c r="D57" s="19" t="s">
        <v>14</v>
      </c>
      <c r="E57" s="18"/>
      <c r="F57" s="20">
        <v>10000</v>
      </c>
      <c r="G57" s="18"/>
      <c r="H57" s="13" t="s">
        <v>8</v>
      </c>
      <c r="I57" s="18"/>
      <c r="J57" s="21" t="s">
        <v>9</v>
      </c>
      <c r="K57" s="18"/>
      <c r="L57" s="22" t="s">
        <v>8</v>
      </c>
    </row>
    <row r="58" spans="1:12" ht="5.15" customHeight="1" x14ac:dyDescent="0.3">
      <c r="A58" s="5"/>
      <c r="B58" s="125"/>
      <c r="C58" s="114"/>
      <c r="D58" s="10"/>
      <c r="E58" s="11"/>
      <c r="F58" s="11"/>
      <c r="G58" s="11"/>
      <c r="H58" s="9"/>
      <c r="I58" s="11"/>
      <c r="J58" s="11"/>
      <c r="K58" s="11"/>
      <c r="L58" s="23"/>
    </row>
    <row r="59" spans="1:12" ht="5.15" customHeight="1" x14ac:dyDescent="0.3">
      <c r="A59" s="5"/>
      <c r="B59" s="125"/>
      <c r="C59" s="113"/>
      <c r="D59" s="5"/>
      <c r="E59" s="18"/>
      <c r="F59" s="18"/>
      <c r="G59" s="18"/>
      <c r="H59" s="14"/>
      <c r="I59" s="18"/>
      <c r="J59" s="18"/>
      <c r="K59" s="18"/>
      <c r="L59" s="16"/>
    </row>
    <row r="60" spans="1:12" ht="15.75" customHeight="1" x14ac:dyDescent="0.3">
      <c r="A60" s="5"/>
      <c r="B60" s="125"/>
      <c r="C60" s="113"/>
      <c r="D60" s="19" t="s">
        <v>15</v>
      </c>
      <c r="E60" s="18"/>
      <c r="F60" s="20">
        <v>10000</v>
      </c>
      <c r="G60" s="18"/>
      <c r="H60" s="13" t="s">
        <v>8</v>
      </c>
      <c r="I60" s="18"/>
      <c r="J60" s="21" t="s">
        <v>9</v>
      </c>
      <c r="K60" s="18"/>
      <c r="L60" s="22" t="s">
        <v>8</v>
      </c>
    </row>
    <row r="61" spans="1:12" ht="5.15" customHeight="1" x14ac:dyDescent="0.3">
      <c r="A61" s="5"/>
      <c r="B61" s="125"/>
      <c r="C61" s="114"/>
      <c r="D61" s="10"/>
      <c r="E61" s="11"/>
      <c r="F61" s="11"/>
      <c r="G61" s="11"/>
      <c r="H61" s="9"/>
      <c r="I61" s="11"/>
      <c r="J61" s="11"/>
      <c r="K61" s="11"/>
      <c r="L61" s="23"/>
    </row>
    <row r="62" spans="1:12" ht="5.15" customHeight="1" x14ac:dyDescent="0.3">
      <c r="A62" s="5"/>
      <c r="B62" s="125"/>
      <c r="C62" s="113"/>
      <c r="D62" s="5"/>
      <c r="E62" s="18"/>
      <c r="F62" s="18"/>
      <c r="G62" s="18"/>
      <c r="H62" s="14"/>
      <c r="I62" s="18"/>
      <c r="J62" s="18"/>
      <c r="K62" s="18"/>
      <c r="L62" s="16"/>
    </row>
    <row r="63" spans="1:12" ht="15.75" customHeight="1" x14ac:dyDescent="0.3">
      <c r="A63" s="5"/>
      <c r="B63" s="125"/>
      <c r="C63" s="113"/>
      <c r="D63" s="19" t="s">
        <v>16</v>
      </c>
      <c r="E63" s="18"/>
      <c r="F63" s="20">
        <v>10000</v>
      </c>
      <c r="G63" s="18"/>
      <c r="H63" s="13" t="s">
        <v>8</v>
      </c>
      <c r="I63" s="18"/>
      <c r="J63" s="21" t="s">
        <v>9</v>
      </c>
      <c r="K63" s="18"/>
      <c r="L63" s="22" t="s">
        <v>8</v>
      </c>
    </row>
    <row r="64" spans="1:12" ht="5.15" customHeight="1" x14ac:dyDescent="0.3">
      <c r="A64" s="5"/>
      <c r="B64" s="125"/>
      <c r="C64" s="114"/>
      <c r="D64" s="10"/>
      <c r="E64" s="11"/>
      <c r="F64" s="11"/>
      <c r="G64" s="11"/>
      <c r="H64" s="9"/>
      <c r="I64" s="11"/>
      <c r="J64" s="11"/>
      <c r="K64" s="11"/>
      <c r="L64" s="23"/>
    </row>
    <row r="65" spans="1:12" ht="5.15" customHeight="1" x14ac:dyDescent="0.3">
      <c r="A65" s="5"/>
      <c r="B65" s="125"/>
      <c r="C65" s="113"/>
      <c r="D65" s="5"/>
      <c r="E65" s="18"/>
      <c r="F65" s="18"/>
      <c r="G65" s="18"/>
      <c r="H65" s="14"/>
      <c r="I65" s="18"/>
      <c r="J65" s="18"/>
      <c r="K65" s="18"/>
      <c r="L65" s="16"/>
    </row>
    <row r="66" spans="1:12" ht="15.75" customHeight="1" x14ac:dyDescent="0.35">
      <c r="A66" s="5"/>
      <c r="B66" s="125"/>
      <c r="C66" s="113"/>
      <c r="D66" s="19" t="s">
        <v>17</v>
      </c>
      <c r="E66" s="18"/>
      <c r="F66" s="85">
        <v>10000</v>
      </c>
      <c r="G66" s="18"/>
      <c r="H66" s="13" t="s">
        <v>8</v>
      </c>
      <c r="I66" s="18"/>
      <c r="J66" s="21" t="s">
        <v>9</v>
      </c>
      <c r="K66" s="18"/>
      <c r="L66" s="22"/>
    </row>
    <row r="67" spans="1:12" ht="5.15" customHeight="1" x14ac:dyDescent="0.3">
      <c r="A67" s="5"/>
      <c r="B67" s="125"/>
      <c r="C67" s="114"/>
      <c r="D67" s="10"/>
      <c r="E67" s="11"/>
      <c r="F67" s="11"/>
      <c r="G67" s="11"/>
      <c r="H67" s="9"/>
      <c r="I67" s="11"/>
      <c r="J67" s="11"/>
      <c r="K67" s="11"/>
      <c r="L67" s="23"/>
    </row>
    <row r="68" spans="1:12" ht="5.15" customHeight="1" x14ac:dyDescent="0.3">
      <c r="A68" s="5"/>
      <c r="B68" s="125"/>
      <c r="C68" s="113"/>
      <c r="D68" s="5"/>
      <c r="E68" s="18"/>
      <c r="F68" s="18"/>
      <c r="G68" s="18"/>
      <c r="H68" s="14"/>
      <c r="I68" s="18"/>
      <c r="J68" s="18"/>
      <c r="K68" s="18"/>
      <c r="L68" s="16"/>
    </row>
    <row r="69" spans="1:12" ht="15.75" customHeight="1" x14ac:dyDescent="0.3">
      <c r="A69" s="5"/>
      <c r="B69" s="125"/>
      <c r="C69" s="113"/>
      <c r="D69" s="19" t="s">
        <v>18</v>
      </c>
      <c r="E69" s="18"/>
      <c r="F69" s="20">
        <v>10000</v>
      </c>
      <c r="G69" s="18"/>
      <c r="H69" s="13" t="s">
        <v>8</v>
      </c>
      <c r="I69" s="18"/>
      <c r="J69" s="21" t="s">
        <v>9</v>
      </c>
      <c r="K69" s="18"/>
      <c r="L69" s="22" t="s">
        <v>8</v>
      </c>
    </row>
    <row r="70" spans="1:12" ht="5.15" customHeight="1" x14ac:dyDescent="0.3">
      <c r="A70" s="5"/>
      <c r="B70" s="125"/>
      <c r="C70" s="114"/>
      <c r="D70" s="10"/>
      <c r="E70" s="11"/>
      <c r="F70" s="11"/>
      <c r="G70" s="11"/>
      <c r="H70" s="9"/>
      <c r="I70" s="11"/>
      <c r="J70" s="11"/>
      <c r="K70" s="11"/>
      <c r="L70" s="23"/>
    </row>
    <row r="71" spans="1:12" ht="5.15" customHeight="1" x14ac:dyDescent="0.3">
      <c r="A71" s="5"/>
      <c r="B71" s="125"/>
      <c r="C71" s="113"/>
      <c r="D71" s="5"/>
      <c r="E71" s="18"/>
      <c r="F71" s="18"/>
      <c r="G71" s="18"/>
      <c r="H71" s="14"/>
      <c r="I71" s="18"/>
      <c r="J71" s="18"/>
      <c r="K71" s="18"/>
      <c r="L71" s="16"/>
    </row>
    <row r="72" spans="1:12" ht="15.75" customHeight="1" x14ac:dyDescent="0.3">
      <c r="A72" s="5"/>
      <c r="B72" s="125"/>
      <c r="C72" s="113"/>
      <c r="D72" s="19" t="s">
        <v>19</v>
      </c>
      <c r="E72" s="18"/>
      <c r="F72" s="18"/>
      <c r="G72" s="18"/>
      <c r="H72" s="14"/>
      <c r="I72" s="18"/>
      <c r="J72" s="18"/>
      <c r="K72" s="18"/>
      <c r="L72" s="16"/>
    </row>
    <row r="73" spans="1:12" ht="5.15" customHeight="1" x14ac:dyDescent="0.3">
      <c r="A73" s="5"/>
      <c r="B73" s="125"/>
      <c r="C73" s="15"/>
      <c r="D73" s="19"/>
      <c r="E73" s="18"/>
      <c r="F73" s="18"/>
      <c r="G73" s="18"/>
      <c r="H73" s="14"/>
      <c r="I73" s="18"/>
      <c r="J73" s="18"/>
      <c r="K73" s="18"/>
      <c r="L73" s="16"/>
    </row>
    <row r="74" spans="1:12" ht="15.75" customHeight="1" x14ac:dyDescent="0.35">
      <c r="A74" s="5"/>
      <c r="B74" s="125"/>
      <c r="C74" s="15"/>
      <c r="D74" s="46" t="s">
        <v>143</v>
      </c>
      <c r="E74" s="18"/>
      <c r="F74" s="85">
        <v>10000</v>
      </c>
      <c r="G74" s="18"/>
      <c r="H74" s="13"/>
      <c r="I74" s="18"/>
      <c r="J74" s="21" t="s">
        <v>9</v>
      </c>
      <c r="K74" s="18"/>
      <c r="L74" s="22"/>
    </row>
    <row r="75" spans="1:12" ht="5.15" customHeight="1" x14ac:dyDescent="0.3">
      <c r="A75" s="5"/>
      <c r="B75" s="125"/>
      <c r="C75" s="15"/>
      <c r="D75" s="48"/>
      <c r="E75" s="11"/>
      <c r="F75" s="11"/>
      <c r="G75" s="11"/>
      <c r="H75" s="9"/>
      <c r="I75" s="11"/>
      <c r="J75" s="11"/>
      <c r="K75" s="11"/>
      <c r="L75" s="23"/>
    </row>
    <row r="76" spans="1:12" ht="5.15" customHeight="1" x14ac:dyDescent="0.3">
      <c r="A76" s="5"/>
      <c r="B76" s="125"/>
      <c r="C76" s="15"/>
      <c r="D76" s="19"/>
      <c r="E76" s="18"/>
      <c r="F76" s="18"/>
      <c r="G76" s="18"/>
      <c r="H76" s="14"/>
      <c r="I76" s="18"/>
      <c r="J76" s="18"/>
      <c r="K76" s="18"/>
      <c r="L76" s="16"/>
    </row>
    <row r="77" spans="1:12" ht="15.75" customHeight="1" x14ac:dyDescent="0.35">
      <c r="A77" s="5"/>
      <c r="B77" s="125"/>
      <c r="C77" s="15"/>
      <c r="D77" s="46" t="s">
        <v>144</v>
      </c>
      <c r="E77" s="18"/>
      <c r="F77" s="85">
        <v>10000</v>
      </c>
      <c r="G77" s="18"/>
      <c r="H77" s="13"/>
      <c r="I77" s="18"/>
      <c r="J77" s="21" t="s">
        <v>9</v>
      </c>
      <c r="K77" s="18"/>
      <c r="L77" s="22"/>
    </row>
    <row r="78" spans="1:12" ht="5.15" customHeight="1" x14ac:dyDescent="0.3">
      <c r="A78" s="5"/>
      <c r="B78" s="125"/>
      <c r="C78" s="15"/>
      <c r="D78" s="48"/>
      <c r="E78" s="11"/>
      <c r="F78" s="11"/>
      <c r="G78" s="11"/>
      <c r="H78" s="9"/>
      <c r="I78" s="11"/>
      <c r="J78" s="11"/>
      <c r="K78" s="11"/>
      <c r="L78" s="23"/>
    </row>
    <row r="79" spans="1:12" ht="5.15" customHeight="1" x14ac:dyDescent="0.3">
      <c r="A79" s="5"/>
      <c r="B79" s="125"/>
      <c r="C79" s="15"/>
      <c r="D79" s="19"/>
      <c r="E79" s="18"/>
      <c r="F79" s="18"/>
      <c r="G79" s="18"/>
      <c r="H79" s="14"/>
      <c r="I79" s="18"/>
      <c r="J79" s="18"/>
      <c r="K79" s="18"/>
      <c r="L79" s="16"/>
    </row>
    <row r="80" spans="1:12" ht="15.75" customHeight="1" x14ac:dyDescent="0.35">
      <c r="A80" s="5"/>
      <c r="B80" s="125"/>
      <c r="C80" s="15"/>
      <c r="D80" s="46" t="s">
        <v>173</v>
      </c>
      <c r="E80" s="18"/>
      <c r="F80" s="85">
        <v>10000</v>
      </c>
      <c r="G80" s="18"/>
      <c r="H80" s="13" t="s">
        <v>8</v>
      </c>
      <c r="I80" s="18"/>
      <c r="J80" s="21" t="s">
        <v>9</v>
      </c>
      <c r="K80" s="18"/>
      <c r="L80" s="22"/>
    </row>
    <row r="81" spans="1:12" ht="5.15" customHeight="1" x14ac:dyDescent="0.3">
      <c r="A81" s="5"/>
      <c r="B81" s="125"/>
      <c r="C81" s="15"/>
      <c r="D81" s="48"/>
      <c r="E81" s="11"/>
      <c r="F81" s="11"/>
      <c r="G81" s="11"/>
      <c r="H81" s="9"/>
      <c r="I81" s="11"/>
      <c r="J81" s="11"/>
      <c r="K81" s="11"/>
      <c r="L81" s="23"/>
    </row>
    <row r="82" spans="1:12" ht="5.15" customHeight="1" x14ac:dyDescent="0.3">
      <c r="A82" s="5"/>
      <c r="B82" s="125"/>
      <c r="C82" s="15"/>
      <c r="D82" s="19"/>
      <c r="E82" s="18"/>
      <c r="F82" s="18"/>
      <c r="G82" s="18"/>
      <c r="H82" s="14"/>
      <c r="I82" s="18"/>
      <c r="J82" s="18"/>
      <c r="K82" s="18"/>
      <c r="L82" s="16"/>
    </row>
    <row r="83" spans="1:12" ht="15.75" customHeight="1" x14ac:dyDescent="0.35">
      <c r="A83" s="5"/>
      <c r="B83" s="125"/>
      <c r="C83" s="15"/>
      <c r="D83" s="46" t="s">
        <v>174</v>
      </c>
      <c r="E83" s="18"/>
      <c r="F83" s="85">
        <v>10000</v>
      </c>
      <c r="G83" s="18"/>
      <c r="H83" s="13" t="s">
        <v>8</v>
      </c>
      <c r="I83" s="18"/>
      <c r="J83" s="21" t="s">
        <v>9</v>
      </c>
      <c r="K83" s="18"/>
      <c r="L83" s="22"/>
    </row>
    <row r="84" spans="1:12" ht="5.15" customHeight="1" x14ac:dyDescent="0.3">
      <c r="A84" s="5"/>
      <c r="B84" s="125"/>
      <c r="C84" s="15"/>
      <c r="D84" s="48"/>
      <c r="E84" s="11"/>
      <c r="F84" s="11"/>
      <c r="G84" s="11"/>
      <c r="H84" s="9"/>
      <c r="I84" s="11"/>
      <c r="J84" s="11"/>
      <c r="K84" s="11"/>
      <c r="L84" s="23"/>
    </row>
    <row r="85" spans="1:12" ht="5.15" customHeight="1" x14ac:dyDescent="0.3">
      <c r="A85" s="5"/>
      <c r="B85" s="125"/>
      <c r="C85" s="15"/>
      <c r="D85" s="19"/>
      <c r="E85" s="18"/>
      <c r="F85" s="18"/>
      <c r="G85" s="18"/>
      <c r="H85" s="14"/>
      <c r="I85" s="18"/>
      <c r="J85" s="18"/>
      <c r="K85" s="18"/>
      <c r="L85" s="16"/>
    </row>
    <row r="86" spans="1:12" ht="15.75" customHeight="1" x14ac:dyDescent="0.3">
      <c r="A86" s="5"/>
      <c r="B86" s="125"/>
      <c r="C86" s="15"/>
      <c r="D86" s="46" t="s">
        <v>50</v>
      </c>
      <c r="E86" s="18"/>
      <c r="F86" s="80">
        <v>10000</v>
      </c>
      <c r="G86" s="18"/>
      <c r="H86" s="13" t="s">
        <v>8</v>
      </c>
      <c r="I86" s="18"/>
      <c r="J86" s="21" t="s">
        <v>9</v>
      </c>
      <c r="K86" s="18"/>
      <c r="L86" s="22"/>
    </row>
    <row r="87" spans="1:12" ht="5.15" customHeight="1" x14ac:dyDescent="0.3">
      <c r="A87" s="5"/>
      <c r="B87" s="125"/>
      <c r="C87" s="15"/>
      <c r="D87" s="48"/>
      <c r="E87" s="11"/>
      <c r="F87" s="11"/>
      <c r="G87" s="11"/>
      <c r="H87" s="9"/>
      <c r="I87" s="11"/>
      <c r="J87" s="11"/>
      <c r="K87" s="11"/>
      <c r="L87" s="23"/>
    </row>
    <row r="88" spans="1:12" ht="22" customHeight="1" x14ac:dyDescent="0.3">
      <c r="A88" s="5"/>
      <c r="B88" s="125"/>
      <c r="C88" s="15"/>
      <c r="D88" s="5"/>
      <c r="E88" s="5"/>
      <c r="F88" s="5"/>
      <c r="G88" s="5"/>
      <c r="H88" s="14"/>
      <c r="I88" s="5"/>
      <c r="J88" s="5"/>
      <c r="K88" s="5"/>
      <c r="L88" s="16"/>
    </row>
    <row r="89" spans="1:12" ht="5.15" customHeight="1" thickBot="1" x14ac:dyDescent="0.35">
      <c r="A89" s="5"/>
      <c r="B89" s="132"/>
      <c r="C89" s="27"/>
      <c r="D89" s="28"/>
      <c r="E89" s="28"/>
      <c r="F89" s="28"/>
      <c r="G89" s="28"/>
      <c r="H89" s="32"/>
      <c r="I89" s="28"/>
      <c r="J89" s="28"/>
      <c r="K89" s="28"/>
      <c r="L89" s="29"/>
    </row>
    <row r="90" spans="1:12" ht="15.75" customHeight="1" x14ac:dyDescent="0.3">
      <c r="A90" s="5"/>
      <c r="B90" s="136" t="s">
        <v>12</v>
      </c>
      <c r="C90" s="30"/>
      <c r="D90" s="30"/>
      <c r="E90" s="30"/>
      <c r="F90" s="30"/>
      <c r="G90" s="30"/>
      <c r="H90" s="30"/>
      <c r="I90" s="30"/>
      <c r="J90" s="30"/>
      <c r="K90" s="30"/>
      <c r="L90" s="31"/>
    </row>
    <row r="91" spans="1:12" ht="18" customHeight="1" x14ac:dyDescent="0.3">
      <c r="A91" s="5"/>
      <c r="B91" s="125"/>
      <c r="C91" s="8"/>
      <c r="D91" s="9"/>
      <c r="E91" s="115" t="s">
        <v>3</v>
      </c>
      <c r="F91" s="116"/>
      <c r="G91" s="117"/>
      <c r="H91" s="7" t="s">
        <v>4</v>
      </c>
      <c r="I91" s="115" t="s">
        <v>5</v>
      </c>
      <c r="J91" s="116"/>
      <c r="K91" s="117"/>
      <c r="L91" s="17" t="s">
        <v>4</v>
      </c>
    </row>
    <row r="92" spans="1:12" ht="5.15" customHeight="1" x14ac:dyDescent="0.3">
      <c r="A92" s="5"/>
      <c r="B92" s="125"/>
      <c r="C92" s="112"/>
      <c r="D92" s="5"/>
      <c r="E92" s="18"/>
      <c r="F92" s="18"/>
      <c r="G92" s="18"/>
      <c r="H92" s="12"/>
      <c r="I92" s="18"/>
      <c r="J92" s="18"/>
      <c r="K92" s="18"/>
      <c r="L92" s="16"/>
    </row>
    <row r="93" spans="1:12" ht="15.75" customHeight="1" x14ac:dyDescent="0.3">
      <c r="A93" s="5"/>
      <c r="B93" s="125"/>
      <c r="C93" s="113"/>
      <c r="D93" s="19" t="s">
        <v>14</v>
      </c>
      <c r="E93" s="18"/>
      <c r="F93" s="20">
        <v>10000</v>
      </c>
      <c r="G93" s="18"/>
      <c r="H93" s="13" t="s">
        <v>8</v>
      </c>
      <c r="I93" s="18"/>
      <c r="J93" s="21" t="s">
        <v>9</v>
      </c>
      <c r="K93" s="18"/>
      <c r="L93" s="22" t="s">
        <v>8</v>
      </c>
    </row>
    <row r="94" spans="1:12" ht="5.15" customHeight="1" x14ac:dyDescent="0.3">
      <c r="A94" s="5"/>
      <c r="B94" s="125"/>
      <c r="C94" s="114"/>
      <c r="D94" s="10"/>
      <c r="E94" s="11"/>
      <c r="F94" s="11"/>
      <c r="G94" s="11"/>
      <c r="H94" s="9"/>
      <c r="I94" s="11"/>
      <c r="J94" s="11"/>
      <c r="K94" s="11"/>
      <c r="L94" s="23"/>
    </row>
    <row r="95" spans="1:12" ht="5.15" customHeight="1" x14ac:dyDescent="0.3">
      <c r="A95" s="5"/>
      <c r="B95" s="125"/>
      <c r="C95" s="113"/>
      <c r="D95" s="5"/>
      <c r="E95" s="18"/>
      <c r="F95" s="18"/>
      <c r="G95" s="18"/>
      <c r="H95" s="14"/>
      <c r="I95" s="18"/>
      <c r="J95" s="18"/>
      <c r="K95" s="18"/>
      <c r="L95" s="16"/>
    </row>
    <row r="96" spans="1:12" ht="15.75" customHeight="1" x14ac:dyDescent="0.3">
      <c r="A96" s="5"/>
      <c r="B96" s="125"/>
      <c r="C96" s="113"/>
      <c r="D96" s="19" t="s">
        <v>15</v>
      </c>
      <c r="E96" s="18"/>
      <c r="F96" s="20">
        <v>10000</v>
      </c>
      <c r="G96" s="18"/>
      <c r="H96" s="13" t="s">
        <v>8</v>
      </c>
      <c r="I96" s="18"/>
      <c r="J96" s="21" t="s">
        <v>9</v>
      </c>
      <c r="K96" s="18"/>
      <c r="L96" s="22" t="s">
        <v>8</v>
      </c>
    </row>
    <row r="97" spans="1:12" ht="5.15" customHeight="1" x14ac:dyDescent="0.3">
      <c r="A97" s="5"/>
      <c r="B97" s="125"/>
      <c r="C97" s="114"/>
      <c r="D97" s="10"/>
      <c r="E97" s="11"/>
      <c r="F97" s="11"/>
      <c r="G97" s="11"/>
      <c r="H97" s="9"/>
      <c r="I97" s="11"/>
      <c r="J97" s="11"/>
      <c r="K97" s="11"/>
      <c r="L97" s="23"/>
    </row>
    <row r="98" spans="1:12" ht="5.15" customHeight="1" x14ac:dyDescent="0.3">
      <c r="A98" s="5"/>
      <c r="B98" s="125"/>
      <c r="C98" s="113"/>
      <c r="D98" s="5"/>
      <c r="E98" s="18"/>
      <c r="F98" s="18"/>
      <c r="G98" s="18"/>
      <c r="H98" s="14"/>
      <c r="I98" s="18"/>
      <c r="J98" s="18"/>
      <c r="K98" s="18"/>
      <c r="L98" s="16"/>
    </row>
    <row r="99" spans="1:12" ht="15.75" customHeight="1" x14ac:dyDescent="0.3">
      <c r="A99" s="5"/>
      <c r="B99" s="125"/>
      <c r="C99" s="113"/>
      <c r="D99" s="19" t="s">
        <v>16</v>
      </c>
      <c r="E99" s="18"/>
      <c r="F99" s="20">
        <v>10000</v>
      </c>
      <c r="G99" s="18"/>
      <c r="H99" s="13" t="s">
        <v>8</v>
      </c>
      <c r="I99" s="18"/>
      <c r="J99" s="21" t="s">
        <v>9</v>
      </c>
      <c r="K99" s="18"/>
      <c r="L99" s="22" t="s">
        <v>8</v>
      </c>
    </row>
    <row r="100" spans="1:12" ht="5.15" customHeight="1" x14ac:dyDescent="0.3">
      <c r="A100" s="5"/>
      <c r="B100" s="125"/>
      <c r="C100" s="114"/>
      <c r="D100" s="10"/>
      <c r="E100" s="11"/>
      <c r="F100" s="11"/>
      <c r="G100" s="11"/>
      <c r="H100" s="9"/>
      <c r="I100" s="11"/>
      <c r="J100" s="11"/>
      <c r="K100" s="11"/>
      <c r="L100" s="23"/>
    </row>
    <row r="101" spans="1:12" ht="5.15" customHeight="1" x14ac:dyDescent="0.3">
      <c r="A101" s="5"/>
      <c r="B101" s="125"/>
      <c r="C101" s="113"/>
      <c r="D101" s="5"/>
      <c r="E101" s="18"/>
      <c r="F101" s="18"/>
      <c r="G101" s="18"/>
      <c r="H101" s="14"/>
      <c r="I101" s="18"/>
      <c r="J101" s="18"/>
      <c r="K101" s="18"/>
      <c r="L101" s="16"/>
    </row>
    <row r="102" spans="1:12" ht="15.75" customHeight="1" x14ac:dyDescent="0.3">
      <c r="A102" s="5"/>
      <c r="B102" s="125"/>
      <c r="C102" s="113"/>
      <c r="D102" s="19" t="s">
        <v>17</v>
      </c>
      <c r="E102" s="18"/>
      <c r="F102" s="20">
        <v>10000</v>
      </c>
      <c r="G102" s="18"/>
      <c r="H102" s="13" t="s">
        <v>8</v>
      </c>
      <c r="I102" s="18"/>
      <c r="J102" s="21" t="s">
        <v>9</v>
      </c>
      <c r="K102" s="18"/>
      <c r="L102" s="22" t="s">
        <v>8</v>
      </c>
    </row>
    <row r="103" spans="1:12" ht="5.15" customHeight="1" x14ac:dyDescent="0.3">
      <c r="A103" s="5"/>
      <c r="B103" s="125"/>
      <c r="C103" s="114"/>
      <c r="D103" s="10"/>
      <c r="E103" s="11"/>
      <c r="F103" s="11"/>
      <c r="G103" s="11"/>
      <c r="H103" s="9"/>
      <c r="I103" s="11"/>
      <c r="J103" s="11"/>
      <c r="K103" s="11"/>
      <c r="L103" s="23"/>
    </row>
    <row r="104" spans="1:12" ht="5.15" customHeight="1" x14ac:dyDescent="0.3">
      <c r="A104" s="5"/>
      <c r="B104" s="125"/>
      <c r="C104" s="113"/>
      <c r="D104" s="5"/>
      <c r="E104" s="18"/>
      <c r="F104" s="18"/>
      <c r="G104" s="18"/>
      <c r="H104" s="14"/>
      <c r="I104" s="18"/>
      <c r="J104" s="18"/>
      <c r="K104" s="18"/>
      <c r="L104" s="16"/>
    </row>
    <row r="105" spans="1:12" ht="15.75" customHeight="1" x14ac:dyDescent="0.3">
      <c r="A105" s="5"/>
      <c r="B105" s="125"/>
      <c r="C105" s="113"/>
      <c r="D105" s="19" t="s">
        <v>18</v>
      </c>
      <c r="E105" s="18"/>
      <c r="F105" s="20">
        <v>10000</v>
      </c>
      <c r="G105" s="18"/>
      <c r="H105" s="13" t="s">
        <v>8</v>
      </c>
      <c r="I105" s="18"/>
      <c r="J105" s="21" t="s">
        <v>9</v>
      </c>
      <c r="K105" s="18"/>
      <c r="L105" s="22" t="s">
        <v>8</v>
      </c>
    </row>
    <row r="106" spans="1:12" ht="5.15" customHeight="1" x14ac:dyDescent="0.3">
      <c r="A106" s="5"/>
      <c r="B106" s="125"/>
      <c r="C106" s="114"/>
      <c r="D106" s="10"/>
      <c r="E106" s="11"/>
      <c r="F106" s="11"/>
      <c r="G106" s="11"/>
      <c r="H106" s="9"/>
      <c r="I106" s="11"/>
      <c r="J106" s="11"/>
      <c r="K106" s="11"/>
      <c r="L106" s="23"/>
    </row>
    <row r="107" spans="1:12" ht="5.15" customHeight="1" x14ac:dyDescent="0.3">
      <c r="A107" s="5"/>
      <c r="B107" s="125"/>
      <c r="C107" s="113"/>
      <c r="D107" s="5"/>
      <c r="E107" s="18"/>
      <c r="F107" s="18"/>
      <c r="G107" s="18"/>
      <c r="H107" s="14"/>
      <c r="I107" s="18"/>
      <c r="J107" s="18"/>
      <c r="K107" s="18"/>
      <c r="L107" s="16"/>
    </row>
    <row r="108" spans="1:12" ht="15.75" customHeight="1" x14ac:dyDescent="0.3">
      <c r="A108" s="5"/>
      <c r="B108" s="125"/>
      <c r="C108" s="113"/>
      <c r="D108" s="19" t="s">
        <v>19</v>
      </c>
      <c r="E108" s="18"/>
      <c r="F108" s="18"/>
      <c r="G108" s="18"/>
      <c r="H108" s="14"/>
      <c r="I108" s="18"/>
      <c r="J108" s="18"/>
      <c r="K108" s="18"/>
      <c r="L108" s="16"/>
    </row>
    <row r="109" spans="1:12" ht="22" customHeight="1" x14ac:dyDescent="0.3">
      <c r="A109" s="5"/>
      <c r="B109" s="125"/>
      <c r="C109" s="15"/>
      <c r="D109" s="5"/>
      <c r="E109" s="5"/>
      <c r="F109" s="5"/>
      <c r="G109" s="5"/>
      <c r="H109" s="14"/>
      <c r="I109" s="5"/>
      <c r="J109" s="5"/>
      <c r="K109" s="5"/>
      <c r="L109" s="16"/>
    </row>
    <row r="110" spans="1:12" ht="5.15" customHeight="1" thickBot="1" x14ac:dyDescent="0.35">
      <c r="A110" s="5"/>
      <c r="B110" s="132"/>
      <c r="C110" s="27"/>
      <c r="D110" s="28"/>
      <c r="E110" s="28"/>
      <c r="F110" s="28"/>
      <c r="G110" s="28"/>
      <c r="H110" s="32"/>
      <c r="I110" s="28"/>
      <c r="J110" s="28"/>
      <c r="K110" s="28"/>
      <c r="L110" s="29"/>
    </row>
    <row r="111" spans="1:12" ht="24.65" customHeight="1" x14ac:dyDescent="0.3">
      <c r="A111" s="5"/>
      <c r="B111" s="5"/>
      <c r="C111" s="5"/>
      <c r="D111" s="5"/>
      <c r="E111" s="5"/>
      <c r="F111" s="5"/>
      <c r="G111" s="5"/>
      <c r="H111" s="5"/>
      <c r="I111" s="5"/>
      <c r="J111" s="5"/>
      <c r="K111" s="5"/>
      <c r="L111" s="5"/>
    </row>
    <row r="112" spans="1:12" ht="14.5" thickBot="1" x14ac:dyDescent="0.35">
      <c r="A112" s="5"/>
      <c r="B112" s="5"/>
      <c r="C112" s="5"/>
      <c r="D112" s="5"/>
      <c r="E112" s="5"/>
      <c r="F112" s="5"/>
      <c r="G112" s="5"/>
      <c r="H112" s="5"/>
      <c r="I112" s="5"/>
      <c r="J112" s="5"/>
      <c r="K112" s="5"/>
      <c r="L112" s="5"/>
    </row>
    <row r="113" spans="1:12" ht="28.4" customHeight="1" x14ac:dyDescent="0.3">
      <c r="A113" s="5"/>
      <c r="B113" s="118" t="s">
        <v>20</v>
      </c>
      <c r="C113" s="119"/>
      <c r="D113" s="119"/>
      <c r="E113" s="119"/>
      <c r="F113" s="119"/>
      <c r="G113" s="119"/>
      <c r="H113" s="119"/>
      <c r="I113" s="119"/>
      <c r="J113" s="119"/>
      <c r="K113" s="119"/>
      <c r="L113" s="120"/>
    </row>
    <row r="114" spans="1:12" ht="28.4" customHeight="1" x14ac:dyDescent="0.3">
      <c r="A114" s="5"/>
      <c r="B114" s="121"/>
      <c r="C114" s="122"/>
      <c r="D114" s="122"/>
      <c r="E114" s="122"/>
      <c r="F114" s="122"/>
      <c r="G114" s="122"/>
      <c r="H114" s="122"/>
      <c r="I114" s="122"/>
      <c r="J114" s="122"/>
      <c r="K114" s="122"/>
      <c r="L114" s="123"/>
    </row>
    <row r="115" spans="1:12" ht="21.75" customHeight="1" x14ac:dyDescent="0.3">
      <c r="A115" s="5"/>
      <c r="B115" s="124" t="s">
        <v>6</v>
      </c>
      <c r="C115" s="5"/>
      <c r="D115" s="5"/>
      <c r="E115" s="5"/>
      <c r="F115" s="5"/>
      <c r="G115" s="5"/>
      <c r="H115" s="5"/>
      <c r="I115" s="5"/>
      <c r="J115" s="5"/>
      <c r="K115" s="5"/>
      <c r="L115" s="16"/>
    </row>
    <row r="116" spans="1:12" ht="18" customHeight="1" x14ac:dyDescent="0.3">
      <c r="A116" s="5"/>
      <c r="B116" s="125"/>
      <c r="C116" s="8"/>
      <c r="D116" s="9"/>
      <c r="E116" s="115" t="s">
        <v>3</v>
      </c>
      <c r="F116" s="116"/>
      <c r="G116" s="117"/>
      <c r="H116" s="7" t="s">
        <v>4</v>
      </c>
      <c r="I116" s="115" t="s">
        <v>5</v>
      </c>
      <c r="J116" s="116"/>
      <c r="K116" s="117"/>
      <c r="L116" s="17" t="s">
        <v>4</v>
      </c>
    </row>
    <row r="117" spans="1:12" ht="5.15" customHeight="1" x14ac:dyDescent="0.3">
      <c r="A117" s="5"/>
      <c r="B117" s="125"/>
      <c r="C117" s="112"/>
      <c r="D117" s="5"/>
      <c r="E117" s="18"/>
      <c r="F117" s="18"/>
      <c r="G117" s="18"/>
      <c r="H117" s="12"/>
      <c r="I117" s="18"/>
      <c r="J117" s="18"/>
      <c r="K117" s="18"/>
      <c r="L117" s="16"/>
    </row>
    <row r="118" spans="1:12" ht="15.75" customHeight="1" x14ac:dyDescent="0.3">
      <c r="A118" s="5"/>
      <c r="B118" s="125"/>
      <c r="C118" s="113"/>
      <c r="D118" s="19" t="s">
        <v>21</v>
      </c>
      <c r="E118" s="18"/>
      <c r="F118" s="20">
        <v>10000</v>
      </c>
      <c r="G118" s="18"/>
      <c r="H118" s="13" t="s">
        <v>8</v>
      </c>
      <c r="I118" s="18"/>
      <c r="J118" s="21" t="s">
        <v>9</v>
      </c>
      <c r="K118" s="18"/>
      <c r="L118" s="22" t="s">
        <v>8</v>
      </c>
    </row>
    <row r="119" spans="1:12" ht="5.15" customHeight="1" x14ac:dyDescent="0.3">
      <c r="A119" s="5"/>
      <c r="B119" s="125"/>
      <c r="C119" s="114"/>
      <c r="D119" s="10"/>
      <c r="E119" s="11"/>
      <c r="F119" s="11"/>
      <c r="G119" s="11"/>
      <c r="H119" s="9"/>
      <c r="I119" s="11"/>
      <c r="J119" s="11"/>
      <c r="K119" s="11"/>
      <c r="L119" s="23"/>
    </row>
    <row r="120" spans="1:12" ht="5.15" customHeight="1" x14ac:dyDescent="0.3">
      <c r="A120" s="5"/>
      <c r="B120" s="125"/>
      <c r="C120" s="113"/>
      <c r="D120" s="5"/>
      <c r="E120" s="18"/>
      <c r="F120" s="18"/>
      <c r="G120" s="18"/>
      <c r="H120" s="14"/>
      <c r="I120" s="18"/>
      <c r="J120" s="18"/>
      <c r="K120" s="18"/>
      <c r="L120" s="16"/>
    </row>
    <row r="121" spans="1:12" ht="15.75" customHeight="1" x14ac:dyDescent="0.3">
      <c r="A121" s="5"/>
      <c r="B121" s="125"/>
      <c r="C121" s="113"/>
      <c r="D121" s="19" t="s">
        <v>22</v>
      </c>
      <c r="E121" s="18"/>
      <c r="F121" s="20">
        <v>10000</v>
      </c>
      <c r="G121" s="18"/>
      <c r="H121" s="13" t="s">
        <v>8</v>
      </c>
      <c r="I121" s="18"/>
      <c r="J121" s="21" t="s">
        <v>9</v>
      </c>
      <c r="K121" s="18"/>
      <c r="L121" s="22" t="s">
        <v>8</v>
      </c>
    </row>
    <row r="122" spans="1:12" ht="5.15" customHeight="1" x14ac:dyDescent="0.3">
      <c r="A122" s="5"/>
      <c r="B122" s="126"/>
      <c r="C122" s="114"/>
      <c r="D122" s="10"/>
      <c r="E122" s="11"/>
      <c r="F122" s="11"/>
      <c r="G122" s="11"/>
      <c r="H122" s="9"/>
      <c r="I122" s="11"/>
      <c r="J122" s="11"/>
      <c r="K122" s="11"/>
      <c r="L122" s="23"/>
    </row>
    <row r="123" spans="1:12" ht="21.75" customHeight="1" x14ac:dyDescent="0.3">
      <c r="A123" s="5"/>
      <c r="B123" s="124" t="s">
        <v>12</v>
      </c>
      <c r="C123" s="5"/>
      <c r="D123" s="5"/>
      <c r="E123" s="5"/>
      <c r="F123" s="5"/>
      <c r="G123" s="5"/>
      <c r="H123" s="5"/>
      <c r="I123" s="5"/>
      <c r="J123" s="5"/>
      <c r="K123" s="5"/>
      <c r="L123" s="16"/>
    </row>
    <row r="124" spans="1:12" ht="18" customHeight="1" x14ac:dyDescent="0.3">
      <c r="A124" s="5"/>
      <c r="B124" s="125"/>
      <c r="C124" s="8"/>
      <c r="D124" s="9"/>
      <c r="E124" s="115" t="s">
        <v>3</v>
      </c>
      <c r="F124" s="116"/>
      <c r="G124" s="117"/>
      <c r="H124" s="7" t="s">
        <v>4</v>
      </c>
      <c r="I124" s="115" t="s">
        <v>5</v>
      </c>
      <c r="J124" s="116"/>
      <c r="K124" s="117"/>
      <c r="L124" s="17" t="s">
        <v>4</v>
      </c>
    </row>
    <row r="125" spans="1:12" ht="5.15" customHeight="1" x14ac:dyDescent="0.3">
      <c r="A125" s="5"/>
      <c r="B125" s="125"/>
      <c r="C125" s="112"/>
      <c r="D125" s="5"/>
      <c r="E125" s="18"/>
      <c r="F125" s="18"/>
      <c r="G125" s="18"/>
      <c r="H125" s="12"/>
      <c r="I125" s="18"/>
      <c r="J125" s="18"/>
      <c r="K125" s="18"/>
      <c r="L125" s="16"/>
    </row>
    <row r="126" spans="1:12" ht="15.75" customHeight="1" x14ac:dyDescent="0.3">
      <c r="A126" s="5"/>
      <c r="B126" s="125"/>
      <c r="C126" s="113"/>
      <c r="D126" s="19" t="s">
        <v>21</v>
      </c>
      <c r="E126" s="18"/>
      <c r="F126" s="20">
        <v>10000</v>
      </c>
      <c r="G126" s="18"/>
      <c r="H126" s="13" t="s">
        <v>8</v>
      </c>
      <c r="I126" s="18"/>
      <c r="J126" s="21" t="s">
        <v>9</v>
      </c>
      <c r="K126" s="18"/>
      <c r="L126" s="22" t="s">
        <v>8</v>
      </c>
    </row>
    <row r="127" spans="1:12" ht="5.15" customHeight="1" x14ac:dyDescent="0.3">
      <c r="A127" s="5"/>
      <c r="B127" s="125"/>
      <c r="C127" s="114"/>
      <c r="D127" s="10"/>
      <c r="E127" s="11"/>
      <c r="F127" s="11"/>
      <c r="G127" s="11"/>
      <c r="H127" s="9"/>
      <c r="I127" s="11"/>
      <c r="J127" s="11"/>
      <c r="K127" s="11"/>
      <c r="L127" s="23"/>
    </row>
    <row r="128" spans="1:12" ht="5.15" customHeight="1" x14ac:dyDescent="0.3">
      <c r="A128" s="5"/>
      <c r="B128" s="125"/>
      <c r="C128" s="113"/>
      <c r="D128" s="5"/>
      <c r="E128" s="18"/>
      <c r="F128" s="18"/>
      <c r="G128" s="18"/>
      <c r="H128" s="14"/>
      <c r="I128" s="18"/>
      <c r="J128" s="18"/>
      <c r="K128" s="18"/>
      <c r="L128" s="16"/>
    </row>
    <row r="129" spans="1:12" ht="15.75" customHeight="1" x14ac:dyDescent="0.3">
      <c r="A129" s="5"/>
      <c r="B129" s="125"/>
      <c r="C129" s="113"/>
      <c r="D129" s="19" t="s">
        <v>22</v>
      </c>
      <c r="E129" s="18"/>
      <c r="F129" s="20">
        <v>10000</v>
      </c>
      <c r="G129" s="18"/>
      <c r="H129" s="13" t="s">
        <v>8</v>
      </c>
      <c r="I129" s="18"/>
      <c r="J129" s="21" t="s">
        <v>9</v>
      </c>
      <c r="K129" s="18"/>
      <c r="L129" s="22" t="s">
        <v>8</v>
      </c>
    </row>
    <row r="130" spans="1:12" ht="5.15" customHeight="1" thickBot="1" x14ac:dyDescent="0.35">
      <c r="A130" s="5"/>
      <c r="B130" s="132"/>
      <c r="C130" s="131"/>
      <c r="D130" s="28"/>
      <c r="E130" s="33"/>
      <c r="F130" s="33"/>
      <c r="G130" s="33"/>
      <c r="H130" s="32"/>
      <c r="I130" s="33"/>
      <c r="J130" s="33"/>
      <c r="K130" s="33"/>
      <c r="L130" s="29"/>
    </row>
    <row r="131" spans="1:12" ht="15" customHeight="1" x14ac:dyDescent="0.3">
      <c r="A131" s="5"/>
      <c r="B131" s="5"/>
      <c r="C131" s="5"/>
      <c r="D131" s="5"/>
      <c r="E131" s="5"/>
      <c r="F131" s="5"/>
      <c r="G131" s="5"/>
      <c r="H131" s="5"/>
      <c r="I131" s="5"/>
      <c r="J131" s="5"/>
      <c r="K131" s="5"/>
      <c r="L131" s="5"/>
    </row>
    <row r="132" spans="1:12" x14ac:dyDescent="0.3">
      <c r="A132" s="5"/>
      <c r="B132" s="5"/>
      <c r="C132" s="5"/>
      <c r="D132" s="5"/>
      <c r="E132" s="5"/>
      <c r="F132" s="5"/>
      <c r="G132" s="5"/>
      <c r="H132" s="5"/>
      <c r="I132" s="5"/>
      <c r="J132" s="5"/>
      <c r="K132" s="5"/>
      <c r="L132" s="5"/>
    </row>
    <row r="133" spans="1:12" ht="28.4" customHeight="1" x14ac:dyDescent="0.3">
      <c r="A133" s="5"/>
      <c r="B133" s="133" t="s">
        <v>23</v>
      </c>
      <c r="C133" s="134"/>
      <c r="D133" s="134"/>
      <c r="E133" s="134"/>
      <c r="F133" s="134"/>
      <c r="G133" s="134"/>
      <c r="H133" s="134"/>
      <c r="I133" s="134"/>
      <c r="J133" s="134"/>
      <c r="K133" s="134"/>
      <c r="L133" s="135"/>
    </row>
    <row r="134" spans="1:12" ht="18" customHeight="1" x14ac:dyDescent="0.3">
      <c r="A134" s="5"/>
      <c r="B134" s="127"/>
      <c r="C134" s="5"/>
      <c r="D134" s="5"/>
      <c r="E134" s="5"/>
      <c r="F134" s="5"/>
      <c r="G134" s="5"/>
      <c r="H134" s="5"/>
      <c r="I134" s="5"/>
      <c r="J134" s="5"/>
      <c r="K134" s="5"/>
      <c r="L134" s="14"/>
    </row>
    <row r="135" spans="1:12" ht="17.149999999999999" customHeight="1" x14ac:dyDescent="0.3">
      <c r="A135" s="5"/>
      <c r="B135" s="127"/>
      <c r="C135" s="8"/>
      <c r="D135" s="9"/>
      <c r="E135" s="115" t="s">
        <v>5</v>
      </c>
      <c r="F135" s="116"/>
      <c r="G135" s="117"/>
      <c r="H135" s="115" t="s">
        <v>4</v>
      </c>
      <c r="I135" s="116"/>
      <c r="J135" s="116"/>
      <c r="K135" s="116"/>
      <c r="L135" s="117"/>
    </row>
    <row r="136" spans="1:12" ht="5.15" customHeight="1" x14ac:dyDescent="0.3">
      <c r="A136" s="5"/>
      <c r="B136" s="127"/>
      <c r="C136" s="112"/>
      <c r="D136" s="5"/>
      <c r="E136" s="18"/>
      <c r="F136" s="18"/>
      <c r="G136" s="18"/>
      <c r="H136" s="5"/>
      <c r="I136" s="5"/>
      <c r="J136" s="5"/>
      <c r="K136" s="5"/>
      <c r="L136" s="14"/>
    </row>
    <row r="137" spans="1:12" ht="15.75" customHeight="1" x14ac:dyDescent="0.3">
      <c r="A137" s="5"/>
      <c r="B137" s="127"/>
      <c r="C137" s="113"/>
      <c r="D137" s="19" t="s">
        <v>7</v>
      </c>
      <c r="E137" s="18"/>
      <c r="F137" s="21" t="s">
        <v>9</v>
      </c>
      <c r="G137" s="18"/>
      <c r="H137" s="129" t="s">
        <v>8</v>
      </c>
      <c r="I137" s="129"/>
      <c r="J137" s="129"/>
      <c r="K137" s="129"/>
      <c r="L137" s="130"/>
    </row>
    <row r="138" spans="1:12" ht="5.15" customHeight="1" x14ac:dyDescent="0.3">
      <c r="A138" s="5"/>
      <c r="B138" s="127"/>
      <c r="C138" s="114"/>
      <c r="D138" s="10"/>
      <c r="E138" s="11"/>
      <c r="F138" s="11"/>
      <c r="G138" s="11"/>
      <c r="H138" s="10"/>
      <c r="I138" s="10"/>
      <c r="J138" s="10"/>
      <c r="K138" s="10"/>
      <c r="L138" s="9"/>
    </row>
    <row r="139" spans="1:12" ht="5.15" customHeight="1" x14ac:dyDescent="0.3">
      <c r="A139" s="5"/>
      <c r="B139" s="127"/>
      <c r="C139" s="113"/>
      <c r="D139" s="5"/>
      <c r="E139" s="18"/>
      <c r="F139" s="18"/>
      <c r="G139" s="18"/>
      <c r="H139" s="5"/>
      <c r="I139" s="5"/>
      <c r="J139" s="5"/>
      <c r="K139" s="5"/>
      <c r="L139" s="14"/>
    </row>
    <row r="140" spans="1:12" ht="15.75" customHeight="1" x14ac:dyDescent="0.3">
      <c r="A140" s="5"/>
      <c r="B140" s="127"/>
      <c r="C140" s="113"/>
      <c r="D140" s="19" t="s">
        <v>24</v>
      </c>
      <c r="E140" s="18"/>
      <c r="F140" s="18"/>
      <c r="G140" s="18"/>
      <c r="H140" s="5"/>
      <c r="I140" s="5"/>
      <c r="J140" s="5"/>
      <c r="K140" s="5"/>
      <c r="L140" s="14"/>
    </row>
    <row r="141" spans="1:12" ht="22" customHeight="1" x14ac:dyDescent="0.3">
      <c r="A141" s="5"/>
      <c r="B141" s="127"/>
      <c r="C141" s="15"/>
      <c r="D141" s="5"/>
      <c r="E141" s="5"/>
      <c r="F141" s="5"/>
      <c r="G141" s="5"/>
      <c r="H141" s="5"/>
      <c r="I141" s="5"/>
      <c r="J141" s="5"/>
      <c r="K141" s="5"/>
      <c r="L141" s="14"/>
    </row>
    <row r="142" spans="1:12" ht="5.15" customHeight="1" x14ac:dyDescent="0.3">
      <c r="A142" s="5"/>
      <c r="B142" s="128"/>
      <c r="C142" s="34"/>
      <c r="D142" s="10"/>
      <c r="E142" s="10"/>
      <c r="F142" s="10"/>
      <c r="G142" s="10"/>
      <c r="H142" s="10"/>
      <c r="I142" s="10"/>
      <c r="J142" s="10"/>
      <c r="K142" s="10"/>
      <c r="L142" s="9"/>
    </row>
    <row r="143" spans="1:12" x14ac:dyDescent="0.3">
      <c r="A143" s="5"/>
      <c r="B143" s="5"/>
      <c r="C143" s="5"/>
      <c r="D143" s="5"/>
      <c r="E143" s="5"/>
      <c r="F143" s="5"/>
      <c r="G143" s="5"/>
      <c r="H143" s="5"/>
      <c r="I143" s="5"/>
      <c r="J143" s="5"/>
      <c r="K143" s="5"/>
      <c r="L143" s="5"/>
    </row>
    <row r="144" spans="1:12" x14ac:dyDescent="0.3">
      <c r="A144" s="5"/>
      <c r="B144" s="5"/>
      <c r="C144" s="5"/>
      <c r="D144" s="5"/>
      <c r="E144" s="5"/>
      <c r="F144" s="5"/>
      <c r="G144" s="5"/>
      <c r="H144" s="5"/>
      <c r="I144" s="5"/>
      <c r="J144" s="5"/>
      <c r="K144" s="5"/>
      <c r="L144" s="5"/>
    </row>
    <row r="145" spans="1:12" ht="28.4" customHeight="1" x14ac:dyDescent="0.3">
      <c r="A145" s="5"/>
      <c r="B145" s="5"/>
      <c r="C145" s="5"/>
      <c r="D145" s="5"/>
      <c r="E145" s="5"/>
      <c r="F145" s="5"/>
      <c r="G145" s="5"/>
      <c r="H145" s="5"/>
      <c r="I145" s="5"/>
      <c r="J145" s="5"/>
      <c r="K145" s="5"/>
      <c r="L145" s="5"/>
    </row>
    <row r="146" spans="1:12" ht="28.4" customHeight="1" x14ac:dyDescent="0.3">
      <c r="A146" s="5"/>
      <c r="B146" s="5"/>
      <c r="C146" s="5"/>
      <c r="D146" s="5"/>
      <c r="E146" s="5"/>
      <c r="F146" s="5"/>
      <c r="G146" s="5"/>
      <c r="H146" s="5"/>
      <c r="I146" s="5"/>
      <c r="J146" s="5"/>
      <c r="K146" s="5"/>
      <c r="L146" s="5"/>
    </row>
    <row r="147" spans="1:12" ht="18" customHeight="1" x14ac:dyDescent="0.3">
      <c r="A147" s="5"/>
      <c r="B147" s="5"/>
      <c r="C147" s="5"/>
      <c r="D147" s="5"/>
      <c r="E147" s="5"/>
      <c r="F147" s="5"/>
      <c r="G147" s="5"/>
      <c r="H147" s="5"/>
      <c r="I147" s="5"/>
      <c r="J147" s="5"/>
      <c r="K147" s="5"/>
      <c r="L147" s="5"/>
    </row>
    <row r="148" spans="1:12" ht="17.149999999999999" customHeight="1" x14ac:dyDescent="0.3">
      <c r="A148" s="5"/>
      <c r="B148" s="5"/>
      <c r="C148" s="5"/>
      <c r="D148" s="5"/>
      <c r="E148" s="5"/>
      <c r="F148" s="5"/>
      <c r="G148" s="5"/>
      <c r="H148" s="5"/>
      <c r="I148" s="5"/>
      <c r="J148" s="5"/>
      <c r="K148" s="5"/>
      <c r="L148" s="5"/>
    </row>
    <row r="149" spans="1:12" ht="5.15" customHeight="1" x14ac:dyDescent="0.3">
      <c r="A149" s="5"/>
      <c r="B149" s="5"/>
      <c r="C149" s="5"/>
      <c r="D149" s="5"/>
      <c r="E149" s="5"/>
      <c r="F149" s="5"/>
      <c r="G149" s="5"/>
      <c r="H149" s="5"/>
      <c r="I149" s="5"/>
      <c r="J149" s="5"/>
      <c r="K149" s="5"/>
      <c r="L149" s="5"/>
    </row>
    <row r="150" spans="1:12" ht="15.75" customHeight="1" x14ac:dyDescent="0.3"/>
    <row r="151" spans="1:12" ht="5.15" customHeight="1" x14ac:dyDescent="0.3"/>
    <row r="152" spans="1:12" ht="5.15" customHeight="1" x14ac:dyDescent="0.3"/>
    <row r="153" spans="1:12" ht="15.75" customHeight="1" x14ac:dyDescent="0.3"/>
    <row r="154" spans="1:12" ht="5.15" customHeight="1" x14ac:dyDescent="0.3"/>
  </sheetData>
  <sheetProtection algorithmName="SHA-512" hashValue="pN5VAIeLvfflouIm+b7n7B/O24vATMdVgihmRFwmDMhUFDL/Q+zdLOKUenmadeL6Hvpq47OeMt5xgq4fXdjjDA==" saltValue="Eur4iHjYJaQSqqEO235v5Q==" spinCount="100000" sheet="1" objects="1" scenarios="1" formatCells="0" formatColumns="0" formatRows="0"/>
  <mergeCells count="59">
    <mergeCell ref="B1:L1"/>
    <mergeCell ref="B5:L5"/>
    <mergeCell ref="B6:L6"/>
    <mergeCell ref="B7:B27"/>
    <mergeCell ref="Q7:Q19"/>
    <mergeCell ref="E9:G9"/>
    <mergeCell ref="I9:K9"/>
    <mergeCell ref="C10:C12"/>
    <mergeCell ref="C13:C15"/>
    <mergeCell ref="C16:C17"/>
    <mergeCell ref="D16:D17"/>
    <mergeCell ref="Q22:Q29"/>
    <mergeCell ref="B28:B48"/>
    <mergeCell ref="E30:G30"/>
    <mergeCell ref="I30:K30"/>
    <mergeCell ref="C31:C33"/>
    <mergeCell ref="Q33:Q39"/>
    <mergeCell ref="C34:C36"/>
    <mergeCell ref="C37:C38"/>
    <mergeCell ref="D37:D38"/>
    <mergeCell ref="B52:L52"/>
    <mergeCell ref="B53:L53"/>
    <mergeCell ref="B54:B89"/>
    <mergeCell ref="E55:G55"/>
    <mergeCell ref="I55:K55"/>
    <mergeCell ref="C56:C58"/>
    <mergeCell ref="C59:C61"/>
    <mergeCell ref="C62:C64"/>
    <mergeCell ref="C65:C67"/>
    <mergeCell ref="C68:C70"/>
    <mergeCell ref="C71:C72"/>
    <mergeCell ref="B90:B110"/>
    <mergeCell ref="E91:G91"/>
    <mergeCell ref="I91:K91"/>
    <mergeCell ref="C92:C94"/>
    <mergeCell ref="C95:C97"/>
    <mergeCell ref="C98:C100"/>
    <mergeCell ref="C101:C103"/>
    <mergeCell ref="C104:C106"/>
    <mergeCell ref="C107:C108"/>
    <mergeCell ref="B133:L133"/>
    <mergeCell ref="B113:L113"/>
    <mergeCell ref="B114:L114"/>
    <mergeCell ref="B115:B122"/>
    <mergeCell ref="E116:G116"/>
    <mergeCell ref="I116:K116"/>
    <mergeCell ref="C117:C119"/>
    <mergeCell ref="C120:C122"/>
    <mergeCell ref="B123:B130"/>
    <mergeCell ref="E124:G124"/>
    <mergeCell ref="I124:K124"/>
    <mergeCell ref="C125:C127"/>
    <mergeCell ref="C128:C130"/>
    <mergeCell ref="B134:B142"/>
    <mergeCell ref="E135:G135"/>
    <mergeCell ref="H135:L135"/>
    <mergeCell ref="C136:C138"/>
    <mergeCell ref="H137:L137"/>
    <mergeCell ref="C139:C140"/>
  </mergeCells>
  <conditionalFormatting sqref="F66">
    <cfRule type="cellIs" dxfId="55" priority="1" operator="greaterThan">
      <formula>0</formula>
    </cfRule>
    <cfRule type="cellIs" dxfId="54" priority="2" operator="equal">
      <formula>0</formula>
    </cfRule>
  </conditionalFormatting>
  <conditionalFormatting sqref="F74">
    <cfRule type="cellIs" dxfId="53" priority="9" operator="notBetween">
      <formula>100</formula>
      <formula>-100</formula>
    </cfRule>
    <cfRule type="cellIs" dxfId="52" priority="10" operator="between">
      <formula>100</formula>
      <formula>-100</formula>
    </cfRule>
  </conditionalFormatting>
  <conditionalFormatting sqref="F77">
    <cfRule type="cellIs" dxfId="51" priority="7" operator="notBetween">
      <formula>100</formula>
      <formula>-100</formula>
    </cfRule>
    <cfRule type="cellIs" dxfId="50" priority="8" operator="between">
      <formula>100</formula>
      <formula>-100</formula>
    </cfRule>
  </conditionalFormatting>
  <conditionalFormatting sqref="F80">
    <cfRule type="cellIs" dxfId="49" priority="5" operator="greaterThan">
      <formula>0</formula>
    </cfRule>
    <cfRule type="cellIs" dxfId="48" priority="6" operator="equal">
      <formula>0</formula>
    </cfRule>
  </conditionalFormatting>
  <conditionalFormatting sqref="F83">
    <cfRule type="cellIs" dxfId="47" priority="3" operator="greaterThan">
      <formula>0</formula>
    </cfRule>
    <cfRule type="cellIs" dxfId="46" priority="4" operator="equal">
      <formula>0</formula>
    </cfRule>
  </conditionalFormatting>
  <pageMargins left="0.7" right="0.7" top="0.75" bottom="0.75" header="0.3" footer="0.3"/>
  <pageSetup paperSize="9" orientation="portrait" r:id="rId1"/>
  <headerFooter>
    <oddFooter>&amp;C_x000D_&amp;1#&amp;"Calibri"&amp;10&amp;K000000 Restricted : General Al-Futtaim Group</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260097" r:id="rId6" name="cbApplyLevelFormatting">
          <controlPr defaultSize="0" autoFill="0" autoLine="0" r:id="rId7">
            <anchor moveWithCells="1">
              <from>
                <xdr:col>7</xdr:col>
                <xdr:colOff>1485900</xdr:colOff>
                <xdr:row>4</xdr:row>
                <xdr:rowOff>69850</xdr:rowOff>
              </from>
              <to>
                <xdr:col>7</xdr:col>
                <xdr:colOff>1612900</xdr:colOff>
                <xdr:row>4</xdr:row>
                <xdr:rowOff>342900</xdr:rowOff>
              </to>
            </anchor>
          </controlPr>
        </control>
      </mc:Choice>
      <mc:Fallback>
        <control shapeId="260097" r:id="rId6" name="cbApplyLevelFormatting"/>
      </mc:Fallback>
    </mc:AlternateContent>
    <mc:AlternateContent xmlns:mc="http://schemas.openxmlformats.org/markup-compatibility/2006">
      <mc:Choice Requires="x14">
        <control shapeId="260123" r:id="rId8" name="cbApplyMemberFormatting">
          <controlPr defaultSize="0" autoFill="0" autoLine="0" r:id="rId7">
            <anchor moveWithCells="1">
              <from>
                <xdr:col>9</xdr:col>
                <xdr:colOff>476250</xdr:colOff>
                <xdr:row>51</xdr:row>
                <xdr:rowOff>69850</xdr:rowOff>
              </from>
              <to>
                <xdr:col>9</xdr:col>
                <xdr:colOff>603250</xdr:colOff>
                <xdr:row>51</xdr:row>
                <xdr:rowOff>342900</xdr:rowOff>
              </to>
            </anchor>
          </controlPr>
        </control>
      </mc:Choice>
      <mc:Fallback>
        <control shapeId="260123" r:id="rId8" name="cbApplyMemberFormatting"/>
      </mc:Fallback>
    </mc:AlternateContent>
    <mc:AlternateContent xmlns:mc="http://schemas.openxmlformats.org/markup-compatibility/2006">
      <mc:Choice Requires="x14">
        <control shapeId="260141" r:id="rId9" name="cbApplyOddEvenFormatting">
          <controlPr defaultSize="0" autoFill="0" autoLine="0" r:id="rId10">
            <anchor moveWithCells="1">
              <from>
                <xdr:col>7</xdr:col>
                <xdr:colOff>1676400</xdr:colOff>
                <xdr:row>112</xdr:row>
                <xdr:rowOff>69850</xdr:rowOff>
              </from>
              <to>
                <xdr:col>7</xdr:col>
                <xdr:colOff>1803400</xdr:colOff>
                <xdr:row>112</xdr:row>
                <xdr:rowOff>342900</xdr:rowOff>
              </to>
            </anchor>
          </controlPr>
        </control>
      </mc:Choice>
      <mc:Fallback>
        <control shapeId="260141" r:id="rId9" name="cbApplyOddEvenFormatting"/>
      </mc:Fallback>
    </mc:AlternateContent>
    <mc:AlternateContent xmlns:mc="http://schemas.openxmlformats.org/markup-compatibility/2006">
      <mc:Choice Requires="x14">
        <control shapeId="260149" r:id="rId11" name="cbApplyPageHeaderFormatting">
          <controlPr defaultSize="0" autoFill="0" autoLine="0" r:id="rId10">
            <anchor moveWithCells="1">
              <from>
                <xdr:col>7</xdr:col>
                <xdr:colOff>1524000</xdr:colOff>
                <xdr:row>132</xdr:row>
                <xdr:rowOff>69850</xdr:rowOff>
              </from>
              <to>
                <xdr:col>7</xdr:col>
                <xdr:colOff>1651000</xdr:colOff>
                <xdr:row>132</xdr:row>
                <xdr:rowOff>342900</xdr:rowOff>
              </to>
            </anchor>
          </controlPr>
        </control>
      </mc:Choice>
      <mc:Fallback>
        <control shapeId="260149" r:id="rId11" name="cbApplyPageHeaderFormatting"/>
      </mc:Fallback>
    </mc:AlternateContent>
    <mc:AlternateContent xmlns:mc="http://schemas.openxmlformats.org/markup-compatibility/2006">
      <mc:Choice Requires="x14">
        <control shapeId="260098" r:id="rId12" name="Group Box 2">
          <controlPr defaultSize="0" autoPict="0">
            <anchor moveWithCells="1">
              <from>
                <xdr:col>1</xdr:col>
                <xdr:colOff>0</xdr:colOff>
                <xdr:row>5</xdr:row>
                <xdr:rowOff>0</xdr:rowOff>
              </from>
              <to>
                <xdr:col>3</xdr:col>
                <xdr:colOff>2800350</xdr:colOff>
                <xdr:row>6</xdr:row>
                <xdr:rowOff>0</xdr:rowOff>
              </to>
            </anchor>
          </controlPr>
        </control>
      </mc:Choice>
    </mc:AlternateContent>
    <mc:AlternateContent xmlns:mc="http://schemas.openxmlformats.org/markup-compatibility/2006">
      <mc:Choice Requires="x14">
        <control shapeId="260099" r:id="rId13" name="obLevelRowFirst">
          <controlPr defaultSize="0" autoFill="0" autoLine="0" autoPict="0" macro="_xll.FPMXLClient.TechnicalCategory.ButtonActionInEPMClientFormattingSheet">
            <anchor moveWithCells="1">
              <from>
                <xdr:col>3</xdr:col>
                <xdr:colOff>488950</xdr:colOff>
                <xdr:row>5</xdr:row>
                <xdr:rowOff>57150</xdr:rowOff>
              </from>
              <to>
                <xdr:col>3</xdr:col>
                <xdr:colOff>2609850</xdr:colOff>
                <xdr:row>5</xdr:row>
                <xdr:rowOff>279400</xdr:rowOff>
              </to>
            </anchor>
          </controlPr>
        </control>
      </mc:Choice>
    </mc:AlternateContent>
    <mc:AlternateContent xmlns:mc="http://schemas.openxmlformats.org/markup-compatibility/2006">
      <mc:Choice Requires="x14">
        <control shapeId="260100" r:id="rId14" name="obLevelColumnFirst">
          <controlPr defaultSize="0" autoFill="0" autoLine="0" autoPict="0" macro="_xll.FPMXLClient.TechnicalCategory.ButtonActionInEPMClientFormattingSheet">
            <anchor moveWithCells="1">
              <from>
                <xdr:col>1</xdr:col>
                <xdr:colOff>209550</xdr:colOff>
                <xdr:row>5</xdr:row>
                <xdr:rowOff>57150</xdr:rowOff>
              </from>
              <to>
                <xdr:col>3</xdr:col>
                <xdr:colOff>450850</xdr:colOff>
                <xdr:row>5</xdr:row>
                <xdr:rowOff>279400</xdr:rowOff>
              </to>
            </anchor>
          </controlPr>
        </control>
      </mc:Choice>
    </mc:AlternateContent>
    <mc:AlternateContent xmlns:mc="http://schemas.openxmlformats.org/markup-compatibility/2006">
      <mc:Choice Requires="x14">
        <control shapeId="260101" r:id="rId15" name="Group Box 5">
          <controlPr defaultSize="0" autoPict="0">
            <anchor moveWithCells="1">
              <from>
                <xdr:col>3</xdr:col>
                <xdr:colOff>2755900</xdr:colOff>
                <xdr:row>5</xdr:row>
                <xdr:rowOff>0</xdr:rowOff>
              </from>
              <to>
                <xdr:col>10</xdr:col>
                <xdr:colOff>171450</xdr:colOff>
                <xdr:row>6</xdr:row>
                <xdr:rowOff>0</xdr:rowOff>
              </to>
            </anchor>
          </controlPr>
        </control>
      </mc:Choice>
    </mc:AlternateContent>
    <mc:AlternateContent xmlns:mc="http://schemas.openxmlformats.org/markup-compatibility/2006">
      <mc:Choice Requires="x14">
        <control shapeId="260102" r:id="rId16" name="obRelativeLevelHierarchy">
          <controlPr defaultSize="0" autoFill="0" autoLine="0" autoPict="0" macro="_xll.FPMXLClient.TechnicalCategory.ButtonActionInEPMClientFormattingSheet">
            <anchor moveWithCells="1">
              <from>
                <xdr:col>3</xdr:col>
                <xdr:colOff>4229100</xdr:colOff>
                <xdr:row>5</xdr:row>
                <xdr:rowOff>57150</xdr:rowOff>
              </from>
              <to>
                <xdr:col>6</xdr:col>
                <xdr:colOff>171450</xdr:colOff>
                <xdr:row>5</xdr:row>
                <xdr:rowOff>279400</xdr:rowOff>
              </to>
            </anchor>
          </controlPr>
        </control>
      </mc:Choice>
    </mc:AlternateContent>
    <mc:AlternateContent xmlns:mc="http://schemas.openxmlformats.org/markup-compatibility/2006">
      <mc:Choice Requires="x14">
        <control shapeId="260103" r:id="rId17" name="obDatabaseLevelHierarchy">
          <controlPr defaultSize="0" autoFill="0" autoLine="0" autoPict="0" macro="_xll.FPMXLClient.TechnicalCategory.ButtonActionInEPMClientFormattingSheet">
            <anchor moveWithCells="1">
              <from>
                <xdr:col>3</xdr:col>
                <xdr:colOff>2774950</xdr:colOff>
                <xdr:row>5</xdr:row>
                <xdr:rowOff>57150</xdr:rowOff>
              </from>
              <to>
                <xdr:col>3</xdr:col>
                <xdr:colOff>4203700</xdr:colOff>
                <xdr:row>5</xdr:row>
                <xdr:rowOff>279400</xdr:rowOff>
              </to>
            </anchor>
          </controlPr>
        </control>
      </mc:Choice>
    </mc:AlternateContent>
    <mc:AlternateContent xmlns:mc="http://schemas.openxmlformats.org/markup-compatibility/2006">
      <mc:Choice Requires="x14">
        <control shapeId="260104" r:id="rId18" name="cbApplyLevelFromTopToBottom">
          <controlPr defaultSize="0" autoFill="0" autoLine="0" autoPict="0">
            <anchor moveWithCells="1">
              <from>
                <xdr:col>7</xdr:col>
                <xdr:colOff>19050</xdr:colOff>
                <xdr:row>5</xdr:row>
                <xdr:rowOff>0</xdr:rowOff>
              </from>
              <to>
                <xdr:col>11</xdr:col>
                <xdr:colOff>2419350</xdr:colOff>
                <xdr:row>5</xdr:row>
                <xdr:rowOff>323850</xdr:rowOff>
              </to>
            </anchor>
          </controlPr>
        </control>
      </mc:Choice>
    </mc:AlternateContent>
    <mc:AlternateContent xmlns:mc="http://schemas.openxmlformats.org/markup-compatibility/2006">
      <mc:Choice Requires="x14">
        <control shapeId="260105" r:id="rId19" name="LVL1tbFormattingByLevel">
          <controlPr defaultSize="0" autoFill="0" autoPict="0">
            <anchor moveWithCells="1" sizeWithCells="1">
              <from>
                <xdr:col>10</xdr:col>
                <xdr:colOff>19050</xdr:colOff>
                <xdr:row>6</xdr:row>
                <xdr:rowOff>133350</xdr:rowOff>
              </from>
              <to>
                <xdr:col>11</xdr:col>
                <xdr:colOff>1136650</xdr:colOff>
                <xdr:row>7</xdr:row>
                <xdr:rowOff>127000</xdr:rowOff>
              </to>
            </anchor>
          </controlPr>
        </control>
      </mc:Choice>
    </mc:AlternateContent>
    <mc:AlternateContent xmlns:mc="http://schemas.openxmlformats.org/markup-compatibility/2006">
      <mc:Choice Requires="x14">
        <control shapeId="260106" r:id="rId20" name="Group Box 10">
          <controlPr defaultSize="0" autoPict="0">
            <anchor moveWithCells="1">
              <from>
                <xdr:col>10</xdr:col>
                <xdr:colOff>209550</xdr:colOff>
                <xdr:row>6</xdr:row>
                <xdr:rowOff>0</xdr:rowOff>
              </from>
              <to>
                <xdr:col>12</xdr:col>
                <xdr:colOff>0</xdr:colOff>
                <xdr:row>8</xdr:row>
                <xdr:rowOff>0</xdr:rowOff>
              </to>
            </anchor>
          </controlPr>
        </control>
      </mc:Choice>
    </mc:AlternateContent>
    <mc:AlternateContent xmlns:mc="http://schemas.openxmlformats.org/markup-compatibility/2006">
      <mc:Choice Requires="x14">
        <control shapeId="260107" r:id="rId21" name="obLevelOuterFirst">
          <controlPr defaultSize="0" autoFill="0" autoLine="0" autoPict="0">
            <anchor moveWithCells="1">
              <from>
                <xdr:col>11</xdr:col>
                <xdr:colOff>908050</xdr:colOff>
                <xdr:row>6</xdr:row>
                <xdr:rowOff>228600</xdr:rowOff>
              </from>
              <to>
                <xdr:col>11</xdr:col>
                <xdr:colOff>2108200</xdr:colOff>
                <xdr:row>7</xdr:row>
                <xdr:rowOff>152400</xdr:rowOff>
              </to>
            </anchor>
          </controlPr>
        </control>
      </mc:Choice>
    </mc:AlternateContent>
    <mc:AlternateContent xmlns:mc="http://schemas.openxmlformats.org/markup-compatibility/2006">
      <mc:Choice Requires="x14">
        <control shapeId="260108" r:id="rId22" name="obLevelInnerFirst">
          <controlPr defaultSize="0" autoFill="0" autoLine="0" autoPict="0">
            <anchor moveWithCells="1">
              <from>
                <xdr:col>11</xdr:col>
                <xdr:colOff>908050</xdr:colOff>
                <xdr:row>6</xdr:row>
                <xdr:rowOff>19050</xdr:rowOff>
              </from>
              <to>
                <xdr:col>11</xdr:col>
                <xdr:colOff>2108200</xdr:colOff>
                <xdr:row>6</xdr:row>
                <xdr:rowOff>241300</xdr:rowOff>
              </to>
            </anchor>
          </controlPr>
        </control>
      </mc:Choice>
    </mc:AlternateContent>
    <mc:AlternateContent xmlns:mc="http://schemas.openxmlformats.org/markup-compatibility/2006">
      <mc:Choice Requires="x14">
        <control shapeId="260109" r:id="rId23" name="cbUseDefaultLevelFirst">
          <controlPr defaultSize="0" autoFill="0" autoLine="0" autoPict="0">
            <anchor moveWithCells="1">
              <from>
                <xdr:col>2</xdr:col>
                <xdr:colOff>127000</xdr:colOff>
                <xdr:row>8</xdr:row>
                <xdr:rowOff>203200</xdr:rowOff>
              </from>
              <to>
                <xdr:col>2</xdr:col>
                <xdr:colOff>1022350</xdr:colOff>
                <xdr:row>11</xdr:row>
                <xdr:rowOff>38100</xdr:rowOff>
              </to>
            </anchor>
          </controlPr>
        </control>
      </mc:Choice>
    </mc:AlternateContent>
    <mc:AlternateContent xmlns:mc="http://schemas.openxmlformats.org/markup-compatibility/2006">
      <mc:Choice Requires="x14">
        <control shapeId="260110" r:id="rId24" name="cbUseLeafLevelFirst">
          <controlPr defaultSize="0" autoFill="0" autoLine="0" autoPict="0">
            <anchor moveWithCells="1">
              <from>
                <xdr:col>2</xdr:col>
                <xdr:colOff>127000</xdr:colOff>
                <xdr:row>12</xdr:row>
                <xdr:rowOff>0</xdr:rowOff>
              </from>
              <to>
                <xdr:col>2</xdr:col>
                <xdr:colOff>1022350</xdr:colOff>
                <xdr:row>14</xdr:row>
                <xdr:rowOff>38100</xdr:rowOff>
              </to>
            </anchor>
          </controlPr>
        </control>
      </mc:Choice>
    </mc:AlternateContent>
    <mc:AlternateContent xmlns:mc="http://schemas.openxmlformats.org/markup-compatibility/2006">
      <mc:Choice Requires="x14">
        <control shapeId="260111" r:id="rId25" name="cbUseSpecificLevelFirst">
          <controlPr defaultSize="0" autoFill="0" autoLine="0" autoPict="0">
            <anchor moveWithCells="1">
              <from>
                <xdr:col>2</xdr:col>
                <xdr:colOff>127000</xdr:colOff>
                <xdr:row>15</xdr:row>
                <xdr:rowOff>38100</xdr:rowOff>
              </from>
              <to>
                <xdr:col>2</xdr:col>
                <xdr:colOff>1022350</xdr:colOff>
                <xdr:row>16</xdr:row>
                <xdr:rowOff>114300</xdr:rowOff>
              </to>
            </anchor>
          </controlPr>
        </control>
      </mc:Choice>
    </mc:AlternateContent>
    <mc:AlternateContent xmlns:mc="http://schemas.openxmlformats.org/markup-compatibility/2006">
      <mc:Choice Requires="x14">
        <control shapeId="260112" r:id="rId26" name="AddLevelFirst">
          <controlPr defaultSize="0" print="0" autoFill="0" autoPict="0" macro="_xll.FPMXLClient.TechnicalCategory.ButtonActionInEPMClientFormattingSheet">
            <anchor moveWithCells="1" sizeWithCells="1">
              <from>
                <xdr:col>3</xdr:col>
                <xdr:colOff>57150</xdr:colOff>
                <xdr:row>25</xdr:row>
                <xdr:rowOff>31750</xdr:rowOff>
              </from>
              <to>
                <xdr:col>3</xdr:col>
                <xdr:colOff>2127250</xdr:colOff>
                <xdr:row>26</xdr:row>
                <xdr:rowOff>12700</xdr:rowOff>
              </to>
            </anchor>
          </controlPr>
        </control>
      </mc:Choice>
    </mc:AlternateContent>
    <mc:AlternateContent xmlns:mc="http://schemas.openxmlformats.org/markup-compatibility/2006">
      <mc:Choice Requires="x14">
        <control shapeId="260113" r:id="rId27" name="RemoveLevelFirst">
          <controlPr defaultSize="0" print="0" autoFill="0" autoPict="0" macro="_xll.FPMXLClient.TechnicalCategory.ButtonActionInEPMClientFormattingSheet">
            <anchor moveWithCells="1" sizeWithCells="1">
              <from>
                <xdr:col>3</xdr:col>
                <xdr:colOff>2228850</xdr:colOff>
                <xdr:row>25</xdr:row>
                <xdr:rowOff>31750</xdr:rowOff>
              </from>
              <to>
                <xdr:col>3</xdr:col>
                <xdr:colOff>4298950</xdr:colOff>
                <xdr:row>26</xdr:row>
                <xdr:rowOff>12700</xdr:rowOff>
              </to>
            </anchor>
          </controlPr>
        </control>
      </mc:Choice>
    </mc:AlternateContent>
    <mc:AlternateContent xmlns:mc="http://schemas.openxmlformats.org/markup-compatibility/2006">
      <mc:Choice Requires="x14">
        <control shapeId="260114" r:id="rId28" name="LVL2tbFormattingByLevel">
          <controlPr defaultSize="0" autoFill="0" autoPict="0">
            <anchor moveWithCells="1" sizeWithCells="1">
              <from>
                <xdr:col>10</xdr:col>
                <xdr:colOff>19050</xdr:colOff>
                <xdr:row>27</xdr:row>
                <xdr:rowOff>146050</xdr:rowOff>
              </from>
              <to>
                <xdr:col>11</xdr:col>
                <xdr:colOff>1136650</xdr:colOff>
                <xdr:row>28</xdr:row>
                <xdr:rowOff>133350</xdr:rowOff>
              </to>
            </anchor>
          </controlPr>
        </control>
      </mc:Choice>
    </mc:AlternateContent>
    <mc:AlternateContent xmlns:mc="http://schemas.openxmlformats.org/markup-compatibility/2006">
      <mc:Choice Requires="x14">
        <control shapeId="260115" r:id="rId29" name="Group Box 19">
          <controlPr defaultSize="0" autoPict="0">
            <anchor moveWithCells="1">
              <from>
                <xdr:col>10</xdr:col>
                <xdr:colOff>209550</xdr:colOff>
                <xdr:row>27</xdr:row>
                <xdr:rowOff>0</xdr:rowOff>
              </from>
              <to>
                <xdr:col>12</xdr:col>
                <xdr:colOff>0</xdr:colOff>
                <xdr:row>29</xdr:row>
                <xdr:rowOff>0</xdr:rowOff>
              </to>
            </anchor>
          </controlPr>
        </control>
      </mc:Choice>
    </mc:AlternateContent>
    <mc:AlternateContent xmlns:mc="http://schemas.openxmlformats.org/markup-compatibility/2006">
      <mc:Choice Requires="x14">
        <control shapeId="260116" r:id="rId30" name="obLevelOuterSecond">
          <controlPr defaultSize="0" autoFill="0" autoLine="0" autoPict="0">
            <anchor moveWithCells="1">
              <from>
                <xdr:col>11</xdr:col>
                <xdr:colOff>908050</xdr:colOff>
                <xdr:row>27</xdr:row>
                <xdr:rowOff>228600</xdr:rowOff>
              </from>
              <to>
                <xdr:col>11</xdr:col>
                <xdr:colOff>2108200</xdr:colOff>
                <xdr:row>28</xdr:row>
                <xdr:rowOff>171450</xdr:rowOff>
              </to>
            </anchor>
          </controlPr>
        </control>
      </mc:Choice>
    </mc:AlternateContent>
    <mc:AlternateContent xmlns:mc="http://schemas.openxmlformats.org/markup-compatibility/2006">
      <mc:Choice Requires="x14">
        <control shapeId="260117" r:id="rId31" name="obLevelInnerSecond">
          <controlPr defaultSize="0" autoFill="0" autoLine="0" autoPict="0">
            <anchor moveWithCells="1">
              <from>
                <xdr:col>11</xdr:col>
                <xdr:colOff>908050</xdr:colOff>
                <xdr:row>27</xdr:row>
                <xdr:rowOff>38100</xdr:rowOff>
              </from>
              <to>
                <xdr:col>11</xdr:col>
                <xdr:colOff>2108200</xdr:colOff>
                <xdr:row>27</xdr:row>
                <xdr:rowOff>247650</xdr:rowOff>
              </to>
            </anchor>
          </controlPr>
        </control>
      </mc:Choice>
    </mc:AlternateContent>
    <mc:AlternateContent xmlns:mc="http://schemas.openxmlformats.org/markup-compatibility/2006">
      <mc:Choice Requires="x14">
        <control shapeId="260118" r:id="rId32" name="cbUseDefaultLevelSecond">
          <controlPr defaultSize="0" autoFill="0" autoLine="0" autoPict="0">
            <anchor moveWithCells="1">
              <from>
                <xdr:col>2</xdr:col>
                <xdr:colOff>127000</xdr:colOff>
                <xdr:row>30</xdr:row>
                <xdr:rowOff>0</xdr:rowOff>
              </from>
              <to>
                <xdr:col>2</xdr:col>
                <xdr:colOff>1022350</xdr:colOff>
                <xdr:row>32</xdr:row>
                <xdr:rowOff>38100</xdr:rowOff>
              </to>
            </anchor>
          </controlPr>
        </control>
      </mc:Choice>
    </mc:AlternateContent>
    <mc:AlternateContent xmlns:mc="http://schemas.openxmlformats.org/markup-compatibility/2006">
      <mc:Choice Requires="x14">
        <control shapeId="260119" r:id="rId33" name="cbUseLeafLevelSecond">
          <controlPr defaultSize="0" autoFill="0" autoLine="0" autoPict="0">
            <anchor moveWithCells="1">
              <from>
                <xdr:col>2</xdr:col>
                <xdr:colOff>127000</xdr:colOff>
                <xdr:row>33</xdr:row>
                <xdr:rowOff>0</xdr:rowOff>
              </from>
              <to>
                <xdr:col>2</xdr:col>
                <xdr:colOff>1022350</xdr:colOff>
                <xdr:row>35</xdr:row>
                <xdr:rowOff>38100</xdr:rowOff>
              </to>
            </anchor>
          </controlPr>
        </control>
      </mc:Choice>
    </mc:AlternateContent>
    <mc:AlternateContent xmlns:mc="http://schemas.openxmlformats.org/markup-compatibility/2006">
      <mc:Choice Requires="x14">
        <control shapeId="260120" r:id="rId34" name="cbUseSpecificLevelSecond">
          <controlPr defaultSize="0" autoFill="0" autoLine="0" autoPict="0">
            <anchor moveWithCells="1">
              <from>
                <xdr:col>2</xdr:col>
                <xdr:colOff>127000</xdr:colOff>
                <xdr:row>36</xdr:row>
                <xdr:rowOff>38100</xdr:rowOff>
              </from>
              <to>
                <xdr:col>2</xdr:col>
                <xdr:colOff>1022350</xdr:colOff>
                <xdr:row>37</xdr:row>
                <xdr:rowOff>114300</xdr:rowOff>
              </to>
            </anchor>
          </controlPr>
        </control>
      </mc:Choice>
    </mc:AlternateContent>
    <mc:AlternateContent xmlns:mc="http://schemas.openxmlformats.org/markup-compatibility/2006">
      <mc:Choice Requires="x14">
        <control shapeId="260121" r:id="rId35" name="AddLevelSecond">
          <controlPr defaultSize="0" print="0" autoFill="0" autoPict="0" macro="_xll.FPMXLClient.TechnicalCategory.ButtonActionInEPMClientFormattingSheet">
            <anchor moveWithCells="1" sizeWithCells="1">
              <from>
                <xdr:col>3</xdr:col>
                <xdr:colOff>57150</xdr:colOff>
                <xdr:row>46</xdr:row>
                <xdr:rowOff>19050</xdr:rowOff>
              </from>
              <to>
                <xdr:col>3</xdr:col>
                <xdr:colOff>2127250</xdr:colOff>
                <xdr:row>47</xdr:row>
                <xdr:rowOff>0</xdr:rowOff>
              </to>
            </anchor>
          </controlPr>
        </control>
      </mc:Choice>
    </mc:AlternateContent>
    <mc:AlternateContent xmlns:mc="http://schemas.openxmlformats.org/markup-compatibility/2006">
      <mc:Choice Requires="x14">
        <control shapeId="260122" r:id="rId36" name="RemoveLevelSecond">
          <controlPr defaultSize="0" print="0" autoFill="0" autoPict="0" macro="_xll.FPMXLClient.TechnicalCategory.ButtonActionInEPMClientFormattingSheet">
            <anchor moveWithCells="1" sizeWithCells="1">
              <from>
                <xdr:col>3</xdr:col>
                <xdr:colOff>2228850</xdr:colOff>
                <xdr:row>46</xdr:row>
                <xdr:rowOff>19050</xdr:rowOff>
              </from>
              <to>
                <xdr:col>3</xdr:col>
                <xdr:colOff>4298950</xdr:colOff>
                <xdr:row>47</xdr:row>
                <xdr:rowOff>0</xdr:rowOff>
              </to>
            </anchor>
          </controlPr>
        </control>
      </mc:Choice>
    </mc:AlternateContent>
    <mc:AlternateContent xmlns:mc="http://schemas.openxmlformats.org/markup-compatibility/2006">
      <mc:Choice Requires="x14">
        <control shapeId="260124" r:id="rId37" name="Group Box 28">
          <controlPr defaultSize="0" autoPict="0">
            <anchor moveWithCells="1">
              <from>
                <xdr:col>1</xdr:col>
                <xdr:colOff>0</xdr:colOff>
                <xdr:row>52</xdr:row>
                <xdr:rowOff>0</xdr:rowOff>
              </from>
              <to>
                <xdr:col>12</xdr:col>
                <xdr:colOff>0</xdr:colOff>
                <xdr:row>53</xdr:row>
                <xdr:rowOff>0</xdr:rowOff>
              </to>
            </anchor>
          </controlPr>
        </control>
      </mc:Choice>
    </mc:AlternateContent>
    <mc:AlternateContent xmlns:mc="http://schemas.openxmlformats.org/markup-compatibility/2006">
      <mc:Choice Requires="x14">
        <control shapeId="260125" r:id="rId38" name="obMemberRowFirst">
          <controlPr defaultSize="0" autoFill="0" autoLine="0" autoPict="0" macro="_xll.FPMXLClient.TechnicalCategory.ButtonActionInEPMClientFormattingSheet">
            <anchor moveWithCells="1">
              <from>
                <xdr:col>3</xdr:col>
                <xdr:colOff>488950</xdr:colOff>
                <xdr:row>52</xdr:row>
                <xdr:rowOff>57150</xdr:rowOff>
              </from>
              <to>
                <xdr:col>3</xdr:col>
                <xdr:colOff>2609850</xdr:colOff>
                <xdr:row>52</xdr:row>
                <xdr:rowOff>279400</xdr:rowOff>
              </to>
            </anchor>
          </controlPr>
        </control>
      </mc:Choice>
    </mc:AlternateContent>
    <mc:AlternateContent xmlns:mc="http://schemas.openxmlformats.org/markup-compatibility/2006">
      <mc:Choice Requires="x14">
        <control shapeId="260126" r:id="rId39" name="obMemberColumnFirst">
          <controlPr defaultSize="0" autoFill="0" autoLine="0" autoPict="0" macro="_xll.FPMXLClient.TechnicalCategory.ButtonActionInEPMClientFormattingSheet">
            <anchor moveWithCells="1">
              <from>
                <xdr:col>1</xdr:col>
                <xdr:colOff>209550</xdr:colOff>
                <xdr:row>52</xdr:row>
                <xdr:rowOff>57150</xdr:rowOff>
              </from>
              <to>
                <xdr:col>3</xdr:col>
                <xdr:colOff>450850</xdr:colOff>
                <xdr:row>52</xdr:row>
                <xdr:rowOff>279400</xdr:rowOff>
              </to>
            </anchor>
          </controlPr>
        </control>
      </mc:Choice>
    </mc:AlternateContent>
    <mc:AlternateContent xmlns:mc="http://schemas.openxmlformats.org/markup-compatibility/2006">
      <mc:Choice Requires="x14">
        <control shapeId="260127" r:id="rId40" name="cbApplyCustomMemberDefaultFirst">
          <controlPr defaultSize="0" autoFill="0" autoLine="0" autoPict="0">
            <anchor moveWithCells="1">
              <from>
                <xdr:col>2</xdr:col>
                <xdr:colOff>127000</xdr:colOff>
                <xdr:row>54</xdr:row>
                <xdr:rowOff>203200</xdr:rowOff>
              </from>
              <to>
                <xdr:col>2</xdr:col>
                <xdr:colOff>1022350</xdr:colOff>
                <xdr:row>57</xdr:row>
                <xdr:rowOff>38100</xdr:rowOff>
              </to>
            </anchor>
          </controlPr>
        </control>
      </mc:Choice>
    </mc:AlternateContent>
    <mc:AlternateContent xmlns:mc="http://schemas.openxmlformats.org/markup-compatibility/2006">
      <mc:Choice Requires="x14">
        <control shapeId="260128" r:id="rId41" name="cbApplyCalculatedMemberFirst">
          <controlPr defaultSize="0" autoFill="0" autoLine="0" autoPict="0">
            <anchor moveWithCells="1">
              <from>
                <xdr:col>2</xdr:col>
                <xdr:colOff>127000</xdr:colOff>
                <xdr:row>57</xdr:row>
                <xdr:rowOff>50800</xdr:rowOff>
              </from>
              <to>
                <xdr:col>2</xdr:col>
                <xdr:colOff>1022350</xdr:colOff>
                <xdr:row>60</xdr:row>
                <xdr:rowOff>38100</xdr:rowOff>
              </to>
            </anchor>
          </controlPr>
        </control>
      </mc:Choice>
    </mc:AlternateContent>
    <mc:AlternateContent xmlns:mc="http://schemas.openxmlformats.org/markup-compatibility/2006">
      <mc:Choice Requires="x14">
        <control shapeId="260129" r:id="rId42" name="cbApplyImputableMemberFirst">
          <controlPr defaultSize="0" autoFill="0" autoLine="0" autoPict="0">
            <anchor moveWithCells="1">
              <from>
                <xdr:col>2</xdr:col>
                <xdr:colOff>127000</xdr:colOff>
                <xdr:row>61</xdr:row>
                <xdr:rowOff>0</xdr:rowOff>
              </from>
              <to>
                <xdr:col>2</xdr:col>
                <xdr:colOff>1022350</xdr:colOff>
                <xdr:row>63</xdr:row>
                <xdr:rowOff>38100</xdr:rowOff>
              </to>
            </anchor>
          </controlPr>
        </control>
      </mc:Choice>
    </mc:AlternateContent>
    <mc:AlternateContent xmlns:mc="http://schemas.openxmlformats.org/markup-compatibility/2006">
      <mc:Choice Requires="x14">
        <control shapeId="260130" r:id="rId43" name="cbApplyLocalMemberFirst">
          <controlPr defaultSize="0" autoFill="0" autoLine="0" autoPict="0">
            <anchor moveWithCells="1">
              <from>
                <xdr:col>2</xdr:col>
                <xdr:colOff>127000</xdr:colOff>
                <xdr:row>64</xdr:row>
                <xdr:rowOff>0</xdr:rowOff>
              </from>
              <to>
                <xdr:col>2</xdr:col>
                <xdr:colOff>1022350</xdr:colOff>
                <xdr:row>66</xdr:row>
                <xdr:rowOff>38100</xdr:rowOff>
              </to>
            </anchor>
          </controlPr>
        </control>
      </mc:Choice>
    </mc:AlternateContent>
    <mc:AlternateContent xmlns:mc="http://schemas.openxmlformats.org/markup-compatibility/2006">
      <mc:Choice Requires="x14">
        <control shapeId="260131" r:id="rId44" name="cbApplyChangedMemberFirst">
          <controlPr defaultSize="0" autoFill="0" autoLine="0" autoPict="0">
            <anchor moveWithCells="1">
              <from>
                <xdr:col>2</xdr:col>
                <xdr:colOff>127000</xdr:colOff>
                <xdr:row>67</xdr:row>
                <xdr:rowOff>0</xdr:rowOff>
              </from>
              <to>
                <xdr:col>2</xdr:col>
                <xdr:colOff>1022350</xdr:colOff>
                <xdr:row>69</xdr:row>
                <xdr:rowOff>38100</xdr:rowOff>
              </to>
            </anchor>
          </controlPr>
        </control>
      </mc:Choice>
    </mc:AlternateContent>
    <mc:AlternateContent xmlns:mc="http://schemas.openxmlformats.org/markup-compatibility/2006">
      <mc:Choice Requires="x14">
        <control shapeId="260132" r:id="rId45" name="cbApplySpecificMemberFirst">
          <controlPr defaultSize="0" autoFill="0" autoLine="0" autoPict="0">
            <anchor moveWithCells="1">
              <from>
                <xdr:col>2</xdr:col>
                <xdr:colOff>127000</xdr:colOff>
                <xdr:row>70</xdr:row>
                <xdr:rowOff>50800</xdr:rowOff>
              </from>
              <to>
                <xdr:col>2</xdr:col>
                <xdr:colOff>1022350</xdr:colOff>
                <xdr:row>72</xdr:row>
                <xdr:rowOff>0</xdr:rowOff>
              </to>
            </anchor>
          </controlPr>
        </control>
      </mc:Choice>
    </mc:AlternateContent>
    <mc:AlternateContent xmlns:mc="http://schemas.openxmlformats.org/markup-compatibility/2006">
      <mc:Choice Requires="x14">
        <control shapeId="260133" r:id="rId46" name="AddMemberFirst">
          <controlPr defaultSize="0" print="0" autoFill="0" autoPict="0" macro="_xll.FPMXLClient.TechnicalCategory.ButtonActionInEPMClientFormattingSheet">
            <anchor moveWithCells="1" sizeWithCells="1">
              <from>
                <xdr:col>3</xdr:col>
                <xdr:colOff>57150</xdr:colOff>
                <xdr:row>87</xdr:row>
                <xdr:rowOff>19050</xdr:rowOff>
              </from>
              <to>
                <xdr:col>3</xdr:col>
                <xdr:colOff>4286250</xdr:colOff>
                <xdr:row>87</xdr:row>
                <xdr:rowOff>266700</xdr:rowOff>
              </to>
            </anchor>
          </controlPr>
        </control>
      </mc:Choice>
    </mc:AlternateContent>
    <mc:AlternateContent xmlns:mc="http://schemas.openxmlformats.org/markup-compatibility/2006">
      <mc:Choice Requires="x14">
        <control shapeId="260134" r:id="rId47" name="cbApplyCustomMemberDefaultSecond">
          <controlPr defaultSize="0" autoFill="0" autoLine="0" autoPict="0">
            <anchor moveWithCells="1">
              <from>
                <xdr:col>2</xdr:col>
                <xdr:colOff>127000</xdr:colOff>
                <xdr:row>91</xdr:row>
                <xdr:rowOff>0</xdr:rowOff>
              </from>
              <to>
                <xdr:col>2</xdr:col>
                <xdr:colOff>1022350</xdr:colOff>
                <xdr:row>93</xdr:row>
                <xdr:rowOff>38100</xdr:rowOff>
              </to>
            </anchor>
          </controlPr>
        </control>
      </mc:Choice>
    </mc:AlternateContent>
    <mc:AlternateContent xmlns:mc="http://schemas.openxmlformats.org/markup-compatibility/2006">
      <mc:Choice Requires="x14">
        <control shapeId="260135" r:id="rId48" name="cbApplyCalculatedMemberSecond">
          <controlPr defaultSize="0" autoFill="0" autoLine="0" autoPict="0">
            <anchor moveWithCells="1">
              <from>
                <xdr:col>2</xdr:col>
                <xdr:colOff>127000</xdr:colOff>
                <xdr:row>93</xdr:row>
                <xdr:rowOff>50800</xdr:rowOff>
              </from>
              <to>
                <xdr:col>2</xdr:col>
                <xdr:colOff>1022350</xdr:colOff>
                <xdr:row>96</xdr:row>
                <xdr:rowOff>38100</xdr:rowOff>
              </to>
            </anchor>
          </controlPr>
        </control>
      </mc:Choice>
    </mc:AlternateContent>
    <mc:AlternateContent xmlns:mc="http://schemas.openxmlformats.org/markup-compatibility/2006">
      <mc:Choice Requires="x14">
        <control shapeId="260136" r:id="rId49" name="cbApplyImputableMemberSecond">
          <controlPr defaultSize="0" autoFill="0" autoLine="0" autoPict="0">
            <anchor moveWithCells="1">
              <from>
                <xdr:col>2</xdr:col>
                <xdr:colOff>127000</xdr:colOff>
                <xdr:row>97</xdr:row>
                <xdr:rowOff>0</xdr:rowOff>
              </from>
              <to>
                <xdr:col>2</xdr:col>
                <xdr:colOff>1022350</xdr:colOff>
                <xdr:row>99</xdr:row>
                <xdr:rowOff>38100</xdr:rowOff>
              </to>
            </anchor>
          </controlPr>
        </control>
      </mc:Choice>
    </mc:AlternateContent>
    <mc:AlternateContent xmlns:mc="http://schemas.openxmlformats.org/markup-compatibility/2006">
      <mc:Choice Requires="x14">
        <control shapeId="260137" r:id="rId50" name="cbApplyLocalMemberSecond">
          <controlPr defaultSize="0" autoFill="0" autoLine="0" autoPict="0">
            <anchor moveWithCells="1">
              <from>
                <xdr:col>2</xdr:col>
                <xdr:colOff>127000</xdr:colOff>
                <xdr:row>100</xdr:row>
                <xdr:rowOff>0</xdr:rowOff>
              </from>
              <to>
                <xdr:col>2</xdr:col>
                <xdr:colOff>1022350</xdr:colOff>
                <xdr:row>102</xdr:row>
                <xdr:rowOff>38100</xdr:rowOff>
              </to>
            </anchor>
          </controlPr>
        </control>
      </mc:Choice>
    </mc:AlternateContent>
    <mc:AlternateContent xmlns:mc="http://schemas.openxmlformats.org/markup-compatibility/2006">
      <mc:Choice Requires="x14">
        <control shapeId="260138" r:id="rId51" name="cbApplyChangedMemberSecond">
          <controlPr defaultSize="0" autoFill="0" autoLine="0" autoPict="0">
            <anchor moveWithCells="1">
              <from>
                <xdr:col>2</xdr:col>
                <xdr:colOff>127000</xdr:colOff>
                <xdr:row>103</xdr:row>
                <xdr:rowOff>0</xdr:rowOff>
              </from>
              <to>
                <xdr:col>2</xdr:col>
                <xdr:colOff>1022350</xdr:colOff>
                <xdr:row>105</xdr:row>
                <xdr:rowOff>38100</xdr:rowOff>
              </to>
            </anchor>
          </controlPr>
        </control>
      </mc:Choice>
    </mc:AlternateContent>
    <mc:AlternateContent xmlns:mc="http://schemas.openxmlformats.org/markup-compatibility/2006">
      <mc:Choice Requires="x14">
        <control shapeId="260139" r:id="rId52" name="cbApplySpecificMemberSecond">
          <controlPr defaultSize="0" autoFill="0" autoLine="0" autoPict="0">
            <anchor moveWithCells="1">
              <from>
                <xdr:col>2</xdr:col>
                <xdr:colOff>127000</xdr:colOff>
                <xdr:row>106</xdr:row>
                <xdr:rowOff>50800</xdr:rowOff>
              </from>
              <to>
                <xdr:col>2</xdr:col>
                <xdr:colOff>1022350</xdr:colOff>
                <xdr:row>108</xdr:row>
                <xdr:rowOff>0</xdr:rowOff>
              </to>
            </anchor>
          </controlPr>
        </control>
      </mc:Choice>
    </mc:AlternateContent>
    <mc:AlternateContent xmlns:mc="http://schemas.openxmlformats.org/markup-compatibility/2006">
      <mc:Choice Requires="x14">
        <control shapeId="260140" r:id="rId53" name="AddMemberSecond">
          <controlPr defaultSize="0" print="0" autoFill="0" autoPict="0" macro="_xll.FPMXLClient.TechnicalCategory.ButtonActionInEPMClientFormattingSheet">
            <anchor moveWithCells="1" sizeWithCells="1">
              <from>
                <xdr:col>3</xdr:col>
                <xdr:colOff>57150</xdr:colOff>
                <xdr:row>108</xdr:row>
                <xdr:rowOff>19050</xdr:rowOff>
              </from>
              <to>
                <xdr:col>3</xdr:col>
                <xdr:colOff>4286250</xdr:colOff>
                <xdr:row>108</xdr:row>
                <xdr:rowOff>266700</xdr:rowOff>
              </to>
            </anchor>
          </controlPr>
        </control>
      </mc:Choice>
    </mc:AlternateContent>
    <mc:AlternateContent xmlns:mc="http://schemas.openxmlformats.org/markup-compatibility/2006">
      <mc:Choice Requires="x14">
        <control shapeId="260142" r:id="rId54" name="Group Box 46">
          <controlPr defaultSize="0" autoPict="0">
            <anchor moveWithCells="1">
              <from>
                <xdr:col>1</xdr:col>
                <xdr:colOff>0</xdr:colOff>
                <xdr:row>113</xdr:row>
                <xdr:rowOff>0</xdr:rowOff>
              </from>
              <to>
                <xdr:col>12</xdr:col>
                <xdr:colOff>0</xdr:colOff>
                <xdr:row>114</xdr:row>
                <xdr:rowOff>0</xdr:rowOff>
              </to>
            </anchor>
          </controlPr>
        </control>
      </mc:Choice>
    </mc:AlternateContent>
    <mc:AlternateContent xmlns:mc="http://schemas.openxmlformats.org/markup-compatibility/2006">
      <mc:Choice Requires="x14">
        <control shapeId="260143" r:id="rId55" name="obOddEvenRowFirst">
          <controlPr defaultSize="0" autoFill="0" autoLine="0" autoPict="0" macro="_xll.FPMXLClient.TechnicalCategory.ButtonActionInEPMClientFormattingSheet">
            <anchor moveWithCells="1">
              <from>
                <xdr:col>3</xdr:col>
                <xdr:colOff>488950</xdr:colOff>
                <xdr:row>113</xdr:row>
                <xdr:rowOff>69850</xdr:rowOff>
              </from>
              <to>
                <xdr:col>3</xdr:col>
                <xdr:colOff>2609850</xdr:colOff>
                <xdr:row>113</xdr:row>
                <xdr:rowOff>279400</xdr:rowOff>
              </to>
            </anchor>
          </controlPr>
        </control>
      </mc:Choice>
    </mc:AlternateContent>
    <mc:AlternateContent xmlns:mc="http://schemas.openxmlformats.org/markup-compatibility/2006">
      <mc:Choice Requires="x14">
        <control shapeId="260144" r:id="rId56" name="obOddEvenColumnFirst">
          <controlPr defaultSize="0" autoFill="0" autoLine="0" autoPict="0" macro="_xll.FPMXLClient.TechnicalCategory.ButtonActionInEPMClientFormattingSheet">
            <anchor moveWithCells="1">
              <from>
                <xdr:col>1</xdr:col>
                <xdr:colOff>209550</xdr:colOff>
                <xdr:row>113</xdr:row>
                <xdr:rowOff>69850</xdr:rowOff>
              </from>
              <to>
                <xdr:col>3</xdr:col>
                <xdr:colOff>450850</xdr:colOff>
                <xdr:row>113</xdr:row>
                <xdr:rowOff>279400</xdr:rowOff>
              </to>
            </anchor>
          </controlPr>
        </control>
      </mc:Choice>
    </mc:AlternateContent>
    <mc:AlternateContent xmlns:mc="http://schemas.openxmlformats.org/markup-compatibility/2006">
      <mc:Choice Requires="x14">
        <control shapeId="260145" r:id="rId57" name="cbUseOddFirst">
          <controlPr defaultSize="0" autoFill="0" autoLine="0" autoPict="0">
            <anchor moveWithCells="1">
              <from>
                <xdr:col>2</xdr:col>
                <xdr:colOff>127000</xdr:colOff>
                <xdr:row>116</xdr:row>
                <xdr:rowOff>0</xdr:rowOff>
              </from>
              <to>
                <xdr:col>2</xdr:col>
                <xdr:colOff>1022350</xdr:colOff>
                <xdr:row>118</xdr:row>
                <xdr:rowOff>38100</xdr:rowOff>
              </to>
            </anchor>
          </controlPr>
        </control>
      </mc:Choice>
    </mc:AlternateContent>
    <mc:AlternateContent xmlns:mc="http://schemas.openxmlformats.org/markup-compatibility/2006">
      <mc:Choice Requires="x14">
        <control shapeId="260146" r:id="rId58" name="cbUseEvenFirst">
          <controlPr defaultSize="0" autoFill="0" autoLine="0" autoPict="0">
            <anchor moveWithCells="1">
              <from>
                <xdr:col>2</xdr:col>
                <xdr:colOff>127000</xdr:colOff>
                <xdr:row>119</xdr:row>
                <xdr:rowOff>0</xdr:rowOff>
              </from>
              <to>
                <xdr:col>2</xdr:col>
                <xdr:colOff>1022350</xdr:colOff>
                <xdr:row>121</xdr:row>
                <xdr:rowOff>38100</xdr:rowOff>
              </to>
            </anchor>
          </controlPr>
        </control>
      </mc:Choice>
    </mc:AlternateContent>
    <mc:AlternateContent xmlns:mc="http://schemas.openxmlformats.org/markup-compatibility/2006">
      <mc:Choice Requires="x14">
        <control shapeId="260147" r:id="rId59" name="cbUseOddSecond">
          <controlPr defaultSize="0" autoFill="0" autoLine="0" autoPict="0">
            <anchor moveWithCells="1">
              <from>
                <xdr:col>2</xdr:col>
                <xdr:colOff>127000</xdr:colOff>
                <xdr:row>124</xdr:row>
                <xdr:rowOff>0</xdr:rowOff>
              </from>
              <to>
                <xdr:col>2</xdr:col>
                <xdr:colOff>1022350</xdr:colOff>
                <xdr:row>126</xdr:row>
                <xdr:rowOff>38100</xdr:rowOff>
              </to>
            </anchor>
          </controlPr>
        </control>
      </mc:Choice>
    </mc:AlternateContent>
    <mc:AlternateContent xmlns:mc="http://schemas.openxmlformats.org/markup-compatibility/2006">
      <mc:Choice Requires="x14">
        <control shapeId="260148" r:id="rId60" name="cbUseEvenSecond">
          <controlPr defaultSize="0" autoFill="0" autoLine="0" autoPict="0">
            <anchor moveWithCells="1">
              <from>
                <xdr:col>2</xdr:col>
                <xdr:colOff>127000</xdr:colOff>
                <xdr:row>126</xdr:row>
                <xdr:rowOff>50800</xdr:rowOff>
              </from>
              <to>
                <xdr:col>2</xdr:col>
                <xdr:colOff>1022350</xdr:colOff>
                <xdr:row>129</xdr:row>
                <xdr:rowOff>38100</xdr:rowOff>
              </to>
            </anchor>
          </controlPr>
        </control>
      </mc:Choice>
    </mc:AlternateContent>
    <mc:AlternateContent xmlns:mc="http://schemas.openxmlformats.org/markup-compatibility/2006">
      <mc:Choice Requires="x14">
        <control shapeId="260150" r:id="rId61" name="cbUseDefaultPageHeaderFormat">
          <controlPr defaultSize="0" autoFill="0" autoLine="0" autoPict="0">
            <anchor moveWithCells="1">
              <from>
                <xdr:col>2</xdr:col>
                <xdr:colOff>127000</xdr:colOff>
                <xdr:row>134</xdr:row>
                <xdr:rowOff>203200</xdr:rowOff>
              </from>
              <to>
                <xdr:col>2</xdr:col>
                <xdr:colOff>1022350</xdr:colOff>
                <xdr:row>137</xdr:row>
                <xdr:rowOff>38100</xdr:rowOff>
              </to>
            </anchor>
          </controlPr>
        </control>
      </mc:Choice>
    </mc:AlternateContent>
    <mc:AlternateContent xmlns:mc="http://schemas.openxmlformats.org/markup-compatibility/2006">
      <mc:Choice Requires="x14">
        <control shapeId="260151" r:id="rId62" name="cbUseDimensionFormatting">
          <controlPr defaultSize="0" autoFill="0" autoLine="0" autoPict="0">
            <anchor moveWithCells="1">
              <from>
                <xdr:col>2</xdr:col>
                <xdr:colOff>127000</xdr:colOff>
                <xdr:row>138</xdr:row>
                <xdr:rowOff>0</xdr:rowOff>
              </from>
              <to>
                <xdr:col>2</xdr:col>
                <xdr:colOff>1022350</xdr:colOff>
                <xdr:row>139</xdr:row>
                <xdr:rowOff>171450</xdr:rowOff>
              </to>
            </anchor>
          </controlPr>
        </control>
      </mc:Choice>
    </mc:AlternateContent>
    <mc:AlternateContent xmlns:mc="http://schemas.openxmlformats.org/markup-compatibility/2006">
      <mc:Choice Requires="x14">
        <control shapeId="260152" r:id="rId63" name="AddDimension">
          <controlPr defaultSize="0" print="0" autoFill="0" autoPict="0" macro="_xll.FPMXLClient.TechnicalCategory.ButtonActionInEPMClientFormattingSheet">
            <anchor moveWithCells="1" sizeWithCells="1">
              <from>
                <xdr:col>3</xdr:col>
                <xdr:colOff>57150</xdr:colOff>
                <xdr:row>140</xdr:row>
                <xdr:rowOff>19050</xdr:rowOff>
              </from>
              <to>
                <xdr:col>3</xdr:col>
                <xdr:colOff>4286250</xdr:colOff>
                <xdr:row>141</xdr:row>
                <xdr:rowOff>0</xdr:rowOff>
              </to>
            </anchor>
          </controlPr>
        </control>
      </mc:Choice>
    </mc:AlternateContent>
    <mc:AlternateContent xmlns:mc="http://schemas.openxmlformats.org/markup-compatibility/2006">
      <mc:Choice Requires="x14">
        <control shapeId="260153" r:id="rId64" name="AddedMember1_1">
          <controlPr defaultSize="0" print="0" autoFill="0" autoPict="0" macro="_xll.FPMXLClient.TechnicalCategory.ButtonActionInEPMClientFormattingSheet">
            <anchor moveWithCells="1">
              <from>
                <xdr:col>12</xdr:col>
                <xdr:colOff>0</xdr:colOff>
                <xdr:row>73</xdr:row>
                <xdr:rowOff>0</xdr:rowOff>
              </from>
              <to>
                <xdr:col>12</xdr:col>
                <xdr:colOff>685800</xdr:colOff>
                <xdr:row>74</xdr:row>
                <xdr:rowOff>0</xdr:rowOff>
              </to>
            </anchor>
          </controlPr>
        </control>
      </mc:Choice>
    </mc:AlternateContent>
    <mc:AlternateContent xmlns:mc="http://schemas.openxmlformats.org/markup-compatibility/2006">
      <mc:Choice Requires="x14">
        <control shapeId="260154" r:id="rId65" name="ChangeMember1_1">
          <controlPr defaultSize="0" print="0" autoFill="0" autoPict="0" macro="_xll.FPMXLClient.TechnicalCategory.ButtonActionInEPMClientFormattingSheet">
            <anchor moveWithCells="1">
              <from>
                <xdr:col>12</xdr:col>
                <xdr:colOff>704850</xdr:colOff>
                <xdr:row>73</xdr:row>
                <xdr:rowOff>0</xdr:rowOff>
              </from>
              <to>
                <xdr:col>13</xdr:col>
                <xdr:colOff>679450</xdr:colOff>
                <xdr:row>74</xdr:row>
                <xdr:rowOff>0</xdr:rowOff>
              </to>
            </anchor>
          </controlPr>
        </control>
      </mc:Choice>
    </mc:AlternateContent>
    <mc:AlternateContent xmlns:mc="http://schemas.openxmlformats.org/markup-compatibility/2006">
      <mc:Choice Requires="x14">
        <control shapeId="260155" r:id="rId66" name="UpMember1_1">
          <controlPr defaultSize="0" print="0" autoFill="0" autoPict="0" macro="_xll.FPMXLClient.TechnicalCategory.ButtonActionInEPMClientFormattingSheet">
            <anchor moveWithCells="1">
              <from>
                <xdr:col>14</xdr:col>
                <xdr:colOff>0</xdr:colOff>
                <xdr:row>73</xdr:row>
                <xdr:rowOff>0</xdr:rowOff>
              </from>
              <to>
                <xdr:col>14</xdr:col>
                <xdr:colOff>685800</xdr:colOff>
                <xdr:row>74</xdr:row>
                <xdr:rowOff>0</xdr:rowOff>
              </to>
            </anchor>
          </controlPr>
        </control>
      </mc:Choice>
    </mc:AlternateContent>
    <mc:AlternateContent xmlns:mc="http://schemas.openxmlformats.org/markup-compatibility/2006">
      <mc:Choice Requires="x14">
        <control shapeId="260156" r:id="rId67" name="DownMember1_1">
          <controlPr defaultSize="0" print="0" autoFill="0" autoPict="0" macro="_xll.FPMXLClient.TechnicalCategory.ButtonActionInEPMClientFormattingSheet">
            <anchor moveWithCells="1">
              <from>
                <xdr:col>15</xdr:col>
                <xdr:colOff>0</xdr:colOff>
                <xdr:row>73</xdr:row>
                <xdr:rowOff>0</xdr:rowOff>
              </from>
              <to>
                <xdr:col>15</xdr:col>
                <xdr:colOff>685800</xdr:colOff>
                <xdr:row>74</xdr:row>
                <xdr:rowOff>0</xdr:rowOff>
              </to>
            </anchor>
          </controlPr>
        </control>
      </mc:Choice>
    </mc:AlternateContent>
    <mc:AlternateContent xmlns:mc="http://schemas.openxmlformats.org/markup-compatibility/2006">
      <mc:Choice Requires="x14">
        <control shapeId="260157" r:id="rId68" name="AddedMember1_2">
          <controlPr defaultSize="0" print="0" autoFill="0" autoPict="0" macro="_xll.FPMXLClient.TechnicalCategory.ButtonActionInEPMClientFormattingSheet">
            <anchor moveWithCells="1">
              <from>
                <xdr:col>12</xdr:col>
                <xdr:colOff>0</xdr:colOff>
                <xdr:row>76</xdr:row>
                <xdr:rowOff>0</xdr:rowOff>
              </from>
              <to>
                <xdr:col>12</xdr:col>
                <xdr:colOff>685800</xdr:colOff>
                <xdr:row>77</xdr:row>
                <xdr:rowOff>0</xdr:rowOff>
              </to>
            </anchor>
          </controlPr>
        </control>
      </mc:Choice>
    </mc:AlternateContent>
    <mc:AlternateContent xmlns:mc="http://schemas.openxmlformats.org/markup-compatibility/2006">
      <mc:Choice Requires="x14">
        <control shapeId="260158" r:id="rId69" name="ChangeMember1_2">
          <controlPr defaultSize="0" print="0" autoFill="0" autoPict="0" macro="_xll.FPMXLClient.TechnicalCategory.ButtonActionInEPMClientFormattingSheet">
            <anchor moveWithCells="1">
              <from>
                <xdr:col>12</xdr:col>
                <xdr:colOff>704850</xdr:colOff>
                <xdr:row>76</xdr:row>
                <xdr:rowOff>0</xdr:rowOff>
              </from>
              <to>
                <xdr:col>13</xdr:col>
                <xdr:colOff>679450</xdr:colOff>
                <xdr:row>77</xdr:row>
                <xdr:rowOff>0</xdr:rowOff>
              </to>
            </anchor>
          </controlPr>
        </control>
      </mc:Choice>
    </mc:AlternateContent>
    <mc:AlternateContent xmlns:mc="http://schemas.openxmlformats.org/markup-compatibility/2006">
      <mc:Choice Requires="x14">
        <control shapeId="260159" r:id="rId70" name="UpMember1_2">
          <controlPr defaultSize="0" print="0" autoFill="0" autoPict="0" macro="_xll.FPMXLClient.TechnicalCategory.ButtonActionInEPMClientFormattingSheet">
            <anchor moveWithCells="1">
              <from>
                <xdr:col>14</xdr:col>
                <xdr:colOff>0</xdr:colOff>
                <xdr:row>76</xdr:row>
                <xdr:rowOff>0</xdr:rowOff>
              </from>
              <to>
                <xdr:col>14</xdr:col>
                <xdr:colOff>685800</xdr:colOff>
                <xdr:row>77</xdr:row>
                <xdr:rowOff>0</xdr:rowOff>
              </to>
            </anchor>
          </controlPr>
        </control>
      </mc:Choice>
    </mc:AlternateContent>
    <mc:AlternateContent xmlns:mc="http://schemas.openxmlformats.org/markup-compatibility/2006">
      <mc:Choice Requires="x14">
        <control shapeId="260160" r:id="rId71" name="DownMember1_2">
          <controlPr defaultSize="0" print="0" autoFill="0" autoPict="0" macro="_xll.FPMXLClient.TechnicalCategory.ButtonActionInEPMClientFormattingSheet">
            <anchor moveWithCells="1">
              <from>
                <xdr:col>15</xdr:col>
                <xdr:colOff>0</xdr:colOff>
                <xdr:row>76</xdr:row>
                <xdr:rowOff>0</xdr:rowOff>
              </from>
              <to>
                <xdr:col>15</xdr:col>
                <xdr:colOff>685800</xdr:colOff>
                <xdr:row>77</xdr:row>
                <xdr:rowOff>0</xdr:rowOff>
              </to>
            </anchor>
          </controlPr>
        </control>
      </mc:Choice>
    </mc:AlternateContent>
    <mc:AlternateContent xmlns:mc="http://schemas.openxmlformats.org/markup-compatibility/2006">
      <mc:Choice Requires="x14">
        <control shapeId="260161" r:id="rId72" name="AddedMember1_3">
          <controlPr defaultSize="0" print="0" autoFill="0" autoPict="0" macro="_xll.FPMXLClient.TechnicalCategory.ButtonActionInEPMClientFormattingSheet">
            <anchor moveWithCells="1">
              <from>
                <xdr:col>12</xdr:col>
                <xdr:colOff>0</xdr:colOff>
                <xdr:row>78</xdr:row>
                <xdr:rowOff>50800</xdr:rowOff>
              </from>
              <to>
                <xdr:col>12</xdr:col>
                <xdr:colOff>685800</xdr:colOff>
                <xdr:row>79</xdr:row>
                <xdr:rowOff>190500</xdr:rowOff>
              </to>
            </anchor>
          </controlPr>
        </control>
      </mc:Choice>
    </mc:AlternateContent>
    <mc:AlternateContent xmlns:mc="http://schemas.openxmlformats.org/markup-compatibility/2006">
      <mc:Choice Requires="x14">
        <control shapeId="260162" r:id="rId73" name="ChangeMember1_3">
          <controlPr defaultSize="0" print="0" autoFill="0" autoPict="0" macro="_xll.FPMXLClient.TechnicalCategory.ButtonActionInEPMClientFormattingSheet">
            <anchor moveWithCells="1">
              <from>
                <xdr:col>12</xdr:col>
                <xdr:colOff>704850</xdr:colOff>
                <xdr:row>78</xdr:row>
                <xdr:rowOff>50800</xdr:rowOff>
              </from>
              <to>
                <xdr:col>13</xdr:col>
                <xdr:colOff>679450</xdr:colOff>
                <xdr:row>79</xdr:row>
                <xdr:rowOff>190500</xdr:rowOff>
              </to>
            </anchor>
          </controlPr>
        </control>
      </mc:Choice>
    </mc:AlternateContent>
    <mc:AlternateContent xmlns:mc="http://schemas.openxmlformats.org/markup-compatibility/2006">
      <mc:Choice Requires="x14">
        <control shapeId="260163" r:id="rId74" name="UpMember1_3">
          <controlPr defaultSize="0" print="0" autoFill="0" autoPict="0" macro="_xll.FPMXLClient.TechnicalCategory.ButtonActionInEPMClientFormattingSheet">
            <anchor moveWithCells="1">
              <from>
                <xdr:col>14</xdr:col>
                <xdr:colOff>0</xdr:colOff>
                <xdr:row>78</xdr:row>
                <xdr:rowOff>50800</xdr:rowOff>
              </from>
              <to>
                <xdr:col>14</xdr:col>
                <xdr:colOff>685800</xdr:colOff>
                <xdr:row>79</xdr:row>
                <xdr:rowOff>190500</xdr:rowOff>
              </to>
            </anchor>
          </controlPr>
        </control>
      </mc:Choice>
    </mc:AlternateContent>
    <mc:AlternateContent xmlns:mc="http://schemas.openxmlformats.org/markup-compatibility/2006">
      <mc:Choice Requires="x14">
        <control shapeId="260164" r:id="rId75" name="DownMember1_3">
          <controlPr defaultSize="0" print="0" autoFill="0" autoPict="0" macro="_xll.FPMXLClient.TechnicalCategory.ButtonActionInEPMClientFormattingSheet">
            <anchor moveWithCells="1">
              <from>
                <xdr:col>15</xdr:col>
                <xdr:colOff>0</xdr:colOff>
                <xdr:row>78</xdr:row>
                <xdr:rowOff>50800</xdr:rowOff>
              </from>
              <to>
                <xdr:col>15</xdr:col>
                <xdr:colOff>685800</xdr:colOff>
                <xdr:row>79</xdr:row>
                <xdr:rowOff>190500</xdr:rowOff>
              </to>
            </anchor>
          </controlPr>
        </control>
      </mc:Choice>
    </mc:AlternateContent>
    <mc:AlternateContent xmlns:mc="http://schemas.openxmlformats.org/markup-compatibility/2006">
      <mc:Choice Requires="x14">
        <control shapeId="260165" r:id="rId76" name="AddedMember1_4">
          <controlPr defaultSize="0" print="0" autoFill="0" autoPict="0" macro="_xll.FPMXLClient.TechnicalCategory.ButtonActionInEPMClientFormattingSheet">
            <anchor moveWithCells="1">
              <from>
                <xdr:col>12</xdr:col>
                <xdr:colOff>0</xdr:colOff>
                <xdr:row>81</xdr:row>
                <xdr:rowOff>50800</xdr:rowOff>
              </from>
              <to>
                <xdr:col>12</xdr:col>
                <xdr:colOff>685800</xdr:colOff>
                <xdr:row>83</xdr:row>
                <xdr:rowOff>0</xdr:rowOff>
              </to>
            </anchor>
          </controlPr>
        </control>
      </mc:Choice>
    </mc:AlternateContent>
    <mc:AlternateContent xmlns:mc="http://schemas.openxmlformats.org/markup-compatibility/2006">
      <mc:Choice Requires="x14">
        <control shapeId="260166" r:id="rId77" name="ChangeMember1_4">
          <controlPr defaultSize="0" print="0" autoFill="0" autoPict="0" macro="_xll.FPMXLClient.TechnicalCategory.ButtonActionInEPMClientFormattingSheet">
            <anchor moveWithCells="1">
              <from>
                <xdr:col>12</xdr:col>
                <xdr:colOff>704850</xdr:colOff>
                <xdr:row>81</xdr:row>
                <xdr:rowOff>50800</xdr:rowOff>
              </from>
              <to>
                <xdr:col>13</xdr:col>
                <xdr:colOff>679450</xdr:colOff>
                <xdr:row>83</xdr:row>
                <xdr:rowOff>0</xdr:rowOff>
              </to>
            </anchor>
          </controlPr>
        </control>
      </mc:Choice>
    </mc:AlternateContent>
    <mc:AlternateContent xmlns:mc="http://schemas.openxmlformats.org/markup-compatibility/2006">
      <mc:Choice Requires="x14">
        <control shapeId="260167" r:id="rId78" name="UpMember1_4">
          <controlPr defaultSize="0" print="0" autoFill="0" autoPict="0" macro="_xll.FPMXLClient.TechnicalCategory.ButtonActionInEPMClientFormattingSheet">
            <anchor moveWithCells="1">
              <from>
                <xdr:col>14</xdr:col>
                <xdr:colOff>0</xdr:colOff>
                <xdr:row>81</xdr:row>
                <xdr:rowOff>50800</xdr:rowOff>
              </from>
              <to>
                <xdr:col>14</xdr:col>
                <xdr:colOff>685800</xdr:colOff>
                <xdr:row>83</xdr:row>
                <xdr:rowOff>0</xdr:rowOff>
              </to>
            </anchor>
          </controlPr>
        </control>
      </mc:Choice>
    </mc:AlternateContent>
    <mc:AlternateContent xmlns:mc="http://schemas.openxmlformats.org/markup-compatibility/2006">
      <mc:Choice Requires="x14">
        <control shapeId="260168" r:id="rId79" name="DownMember1_4">
          <controlPr defaultSize="0" print="0" autoFill="0" autoPict="0" macro="_xll.FPMXLClient.TechnicalCategory.ButtonActionInEPMClientFormattingSheet">
            <anchor moveWithCells="1">
              <from>
                <xdr:col>15</xdr:col>
                <xdr:colOff>0</xdr:colOff>
                <xdr:row>81</xdr:row>
                <xdr:rowOff>50800</xdr:rowOff>
              </from>
              <to>
                <xdr:col>15</xdr:col>
                <xdr:colOff>685800</xdr:colOff>
                <xdr:row>83</xdr:row>
                <xdr:rowOff>0</xdr:rowOff>
              </to>
            </anchor>
          </controlPr>
        </control>
      </mc:Choice>
    </mc:AlternateContent>
    <mc:AlternateContent xmlns:mc="http://schemas.openxmlformats.org/markup-compatibility/2006">
      <mc:Choice Requires="x14">
        <control shapeId="260174" r:id="rId80" name="AddedMember1_5">
          <controlPr defaultSize="0" print="0" autoFill="0" autoPict="0" macro="_xll.FPMXLClient.TechnicalCategory.ButtonActionInEPMClientFormattingSheet">
            <anchor moveWithCells="1">
              <from>
                <xdr:col>12</xdr:col>
                <xdr:colOff>0</xdr:colOff>
                <xdr:row>85</xdr:row>
                <xdr:rowOff>0</xdr:rowOff>
              </from>
              <to>
                <xdr:col>12</xdr:col>
                <xdr:colOff>685800</xdr:colOff>
                <xdr:row>86</xdr:row>
                <xdr:rowOff>0</xdr:rowOff>
              </to>
            </anchor>
          </controlPr>
        </control>
      </mc:Choice>
    </mc:AlternateContent>
    <mc:AlternateContent xmlns:mc="http://schemas.openxmlformats.org/markup-compatibility/2006">
      <mc:Choice Requires="x14">
        <control shapeId="260175" r:id="rId81" name="ChangeMember1_5">
          <controlPr defaultSize="0" print="0" autoFill="0" autoPict="0" macro="_xll.FPMXLClient.TechnicalCategory.ButtonActionInEPMClientFormattingSheet">
            <anchor moveWithCells="1">
              <from>
                <xdr:col>12</xdr:col>
                <xdr:colOff>704850</xdr:colOff>
                <xdr:row>85</xdr:row>
                <xdr:rowOff>0</xdr:rowOff>
              </from>
              <to>
                <xdr:col>13</xdr:col>
                <xdr:colOff>679450</xdr:colOff>
                <xdr:row>86</xdr:row>
                <xdr:rowOff>0</xdr:rowOff>
              </to>
            </anchor>
          </controlPr>
        </control>
      </mc:Choice>
    </mc:AlternateContent>
    <mc:AlternateContent xmlns:mc="http://schemas.openxmlformats.org/markup-compatibility/2006">
      <mc:Choice Requires="x14">
        <control shapeId="260176" r:id="rId82" name="UpMember1_5">
          <controlPr defaultSize="0" print="0" autoFill="0" autoPict="0" macro="_xll.FPMXLClient.TechnicalCategory.ButtonActionInEPMClientFormattingSheet">
            <anchor moveWithCells="1">
              <from>
                <xdr:col>14</xdr:col>
                <xdr:colOff>0</xdr:colOff>
                <xdr:row>85</xdr:row>
                <xdr:rowOff>0</xdr:rowOff>
              </from>
              <to>
                <xdr:col>14</xdr:col>
                <xdr:colOff>685800</xdr:colOff>
                <xdr:row>86</xdr:row>
                <xdr:rowOff>0</xdr:rowOff>
              </to>
            </anchor>
          </controlPr>
        </control>
      </mc:Choice>
    </mc:AlternateContent>
    <mc:AlternateContent xmlns:mc="http://schemas.openxmlformats.org/markup-compatibility/2006">
      <mc:Choice Requires="x14">
        <control shapeId="260177" r:id="rId83" name="DownMember1_5">
          <controlPr defaultSize="0" print="0" autoFill="0" autoPict="0" macro="_xll.FPMXLClient.TechnicalCategory.ButtonActionInEPMClientFormattingSheet">
            <anchor moveWithCells="1">
              <from>
                <xdr:col>15</xdr:col>
                <xdr:colOff>0</xdr:colOff>
                <xdr:row>85</xdr:row>
                <xdr:rowOff>0</xdr:rowOff>
              </from>
              <to>
                <xdr:col>15</xdr:col>
                <xdr:colOff>685800</xdr:colOff>
                <xdr:row>86</xdr:row>
                <xdr:rowOff>0</xdr:rowOff>
              </to>
            </anchor>
          </controlPr>
        </control>
      </mc:Choice>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EC3F3-DFA4-41CA-87A4-13EC2CD3BB56}">
  <sheetPr codeName="Sheet32"/>
  <dimension ref="A1:ZZ145"/>
  <sheetViews>
    <sheetView showGridLines="0" zoomScale="80" zoomScaleNormal="80" workbookViewId="0">
      <pane xSplit="9" ySplit="10" topLeftCell="J54" activePane="bottomRight" state="frozen"/>
      <selection activeCell="L30" sqref="L30"/>
      <selection pane="topRight" activeCell="L30" sqref="L30"/>
      <selection pane="bottomLeft" activeCell="L30" sqref="L30"/>
      <selection pane="bottomRight" activeCell="D65" sqref="D65"/>
    </sheetView>
  </sheetViews>
  <sheetFormatPr defaultColWidth="9.1796875" defaultRowHeight="14.5" outlineLevelCol="1" x14ac:dyDescent="0.35"/>
  <cols>
    <col min="1" max="1" width="20.1796875" hidden="1" customWidth="1" outlineLevel="1"/>
    <col min="2" max="2" width="3" customWidth="1" collapsed="1"/>
    <col min="3" max="3" width="16.7265625" customWidth="1"/>
    <col min="4" max="4" width="85.81640625" bestFit="1" customWidth="1"/>
    <col min="5" max="5" width="19.1796875" hidden="1" customWidth="1"/>
    <col min="6" max="6" width="18" bestFit="1" customWidth="1"/>
    <col min="7" max="8" width="12.7265625" hidden="1" customWidth="1" outlineLevel="1"/>
    <col min="9" max="9" width="34.54296875" hidden="1" customWidth="1" outlineLevel="1"/>
    <col min="10" max="10" width="20.7265625" style="81" hidden="1" customWidth="1" collapsed="1"/>
    <col min="11" max="508" width="18.7265625" customWidth="1"/>
  </cols>
  <sheetData>
    <row r="1" spans="1:15" ht="18.5" x14ac:dyDescent="0.45">
      <c r="C1" s="83" t="str">
        <f>" Validation Local Currency for "&amp;_xll.EPMMemberDesc($D$5)&amp;" on "&amp;_xll.EPMMemberDesc($D$6)&amp; " . "</f>
        <v xml:space="preserve"> Validation Local Currency for Al Futtaim (Pvt) Ltd. on 2020 JAN . </v>
      </c>
      <c r="J1" s="55" t="s">
        <v>107</v>
      </c>
      <c r="K1" s="146" t="s">
        <v>130</v>
      </c>
      <c r="L1" s="146"/>
      <c r="M1" s="146"/>
      <c r="N1" s="146"/>
      <c r="O1" s="146"/>
    </row>
    <row r="2" spans="1:15" x14ac:dyDescent="0.35">
      <c r="C2" s="71" t="s">
        <v>82</v>
      </c>
      <c r="D2" s="71" t="s">
        <v>83</v>
      </c>
      <c r="J2" s="55" t="s">
        <v>108</v>
      </c>
      <c r="K2" s="146" t="s">
        <v>131</v>
      </c>
      <c r="L2" s="146"/>
      <c r="M2" s="146"/>
      <c r="N2" s="146"/>
      <c r="O2" s="146"/>
    </row>
    <row r="3" spans="1:15" x14ac:dyDescent="0.35">
      <c r="A3" t="e">
        <f>IF(#REF!="All Entities","BASEMEMBERS",A5)</f>
        <v>#REF!</v>
      </c>
      <c r="C3" s="72" t="s">
        <v>53</v>
      </c>
      <c r="D3" s="73" t="s">
        <v>172</v>
      </c>
    </row>
    <row r="4" spans="1:15" x14ac:dyDescent="0.35">
      <c r="A4" t="s">
        <v>117</v>
      </c>
      <c r="C4" s="55" t="s">
        <v>41</v>
      </c>
      <c r="D4" s="54" t="str">
        <f>_xll.EPMContextMember($D$3,C4)</f>
        <v>FC100</v>
      </c>
    </row>
    <row r="5" spans="1:15" x14ac:dyDescent="0.35">
      <c r="A5" t="str">
        <f>IF(A7="N",D5,"BAS("&amp;D5&amp;")")</f>
        <v>1090</v>
      </c>
      <c r="C5" s="55" t="s">
        <v>118</v>
      </c>
      <c r="D5" s="54" t="str">
        <f>_xll.EPMContextMember($D$3,C5)</f>
        <v>1090</v>
      </c>
    </row>
    <row r="6" spans="1:15" x14ac:dyDescent="0.35">
      <c r="A6" t="str">
        <f>_xll.EPMDimensionOverride("000",C5,A5)</f>
        <v>Expansion of ENTITY Overriden</v>
      </c>
      <c r="B6" t="s">
        <v>119</v>
      </c>
      <c r="C6" s="55" t="s">
        <v>35</v>
      </c>
      <c r="D6" s="54" t="str">
        <f>_xll.EPMContextMember($D$3,C6)</f>
        <v>2020.JAN</v>
      </c>
    </row>
    <row r="7" spans="1:15" ht="24.75" customHeight="1" x14ac:dyDescent="0.35">
      <c r="A7" t="str">
        <f>_xll.EPMMemberProperty("BMAIN",D5,"CALC")</f>
        <v>N</v>
      </c>
      <c r="F7" s="49"/>
    </row>
    <row r="9" spans="1:15" ht="15.5" x14ac:dyDescent="0.35">
      <c r="C9" s="74" t="s">
        <v>84</v>
      </c>
    </row>
    <row r="10" spans="1:15" ht="27" hidden="1" customHeight="1" x14ac:dyDescent="0.35">
      <c r="C10" s="82" t="s">
        <v>120</v>
      </c>
      <c r="D10" s="82" t="s">
        <v>85</v>
      </c>
      <c r="E10" s="82" t="s">
        <v>86</v>
      </c>
      <c r="F10" s="82" t="s">
        <v>87</v>
      </c>
      <c r="G10" s="82" t="s">
        <v>121</v>
      </c>
      <c r="H10" s="82" t="s">
        <v>75</v>
      </c>
      <c r="I10" s="82" t="s">
        <v>68</v>
      </c>
      <c r="J10" s="86" t="str">
        <f xml:space="preserve"> _xll.EPMOlapMemberO("[ENTITY].[PARENTH1].[1090]","","1090","","000")</f>
        <v>1090</v>
      </c>
    </row>
    <row r="11" spans="1:15" hidden="1" x14ac:dyDescent="0.35">
      <c r="C11" s="60" t="s">
        <v>88</v>
      </c>
      <c r="D11" s="60" t="s">
        <v>89</v>
      </c>
      <c r="E11" s="75">
        <f>SUM(J11:XX11)</f>
        <v>0</v>
      </c>
      <c r="F11" s="92">
        <f>IF(OR(E11&gt;100,E11&lt;-100),1,0)</f>
        <v>0</v>
      </c>
      <c r="G11" s="80" t="str">
        <f xml:space="preserve"> _xll.EPMOlapMemberO("[ACCOUNT].[PARENTH1].[1001000001]","","1001000001","","000")</f>
        <v>1001000001</v>
      </c>
      <c r="H11" s="80" t="str">
        <f xml:space="preserve"> _xll.EPMOlapMemberO("[BFLOW].[PARENTH1].[B99]","","B99","","000")</f>
        <v>B99</v>
      </c>
      <c r="I11" s="80" t="str">
        <f xml:space="preserve"> _xll.EPMOlapMemberO("[TPARTNER].[PARENTH1].[IC_TOTAL_THIRD]","","IC_TOTAL_THIRD","","000")</f>
        <v>IC_TOTAL_THIRD</v>
      </c>
      <c r="J11" s="79"/>
    </row>
    <row r="12" spans="1:15" hidden="1" x14ac:dyDescent="0.35">
      <c r="C12" s="60" t="s">
        <v>90</v>
      </c>
      <c r="D12" s="60" t="s">
        <v>91</v>
      </c>
      <c r="E12" s="75">
        <f t="shared" ref="E12:E27" si="0">SUM(J12:XX12)</f>
        <v>0</v>
      </c>
      <c r="F12" s="92">
        <f>IF(OR(E12&gt;10,E12&lt;-10),1,0)</f>
        <v>0</v>
      </c>
      <c r="G12" s="80" t="str">
        <f xml:space="preserve"> _xll.EPMOlapMemberO("[ACCOUNT].[PARENTH1].[1001000001]","","1001000001","","000")</f>
        <v>1001000001</v>
      </c>
      <c r="H12" s="80" t="str">
        <f xml:space="preserve"> _xll.EPMOlapMemberO("[BFLOW].[PARENTH1].[B10]","","B10","","000")</f>
        <v>B10</v>
      </c>
      <c r="I12" s="80" t="str">
        <f xml:space="preserve"> _xll.EPMOlapMemberO("[TPARTNER].[PARENTH1].[IC_TOTAL_THIRD]","","IC_TOTAL_THIRD","","000")</f>
        <v>IC_TOTAL_THIRD</v>
      </c>
      <c r="J12" s="79"/>
    </row>
    <row r="13" spans="1:15" hidden="1" x14ac:dyDescent="0.35">
      <c r="C13" s="60"/>
      <c r="D13" s="60"/>
      <c r="E13" s="75">
        <f t="shared" si="0"/>
        <v>0</v>
      </c>
      <c r="F13" s="92"/>
      <c r="G13" s="80" t="str">
        <f xml:space="preserve"> _xll.EPMOlapMemberO("[ACCOUNT].[PARENTH1].[1092009000]","","1092009000","","000")</f>
        <v>1092009000</v>
      </c>
      <c r="H13" s="80" t="str">
        <f xml:space="preserve"> _xll.EPMOlapMemberO("[BFLOW].[PARENTH1].[B99]","","B99","","000")</f>
        <v>B99</v>
      </c>
      <c r="I13" s="80" t="str">
        <f xml:space="preserve"> _xll.EPMOlapMemberO("[TPARTNER].[PARENTH1].[IC_TOTAL_THIRD]","","IC_TOTAL_THIRD","","000")</f>
        <v>IC_TOTAL_THIRD</v>
      </c>
      <c r="J13" s="79"/>
    </row>
    <row r="14" spans="1:15" hidden="1" x14ac:dyDescent="0.35">
      <c r="C14" s="60"/>
      <c r="D14" s="60"/>
      <c r="E14" s="75">
        <f t="shared" si="0"/>
        <v>0</v>
      </c>
      <c r="F14" s="92"/>
      <c r="G14" s="80" t="str">
        <f xml:space="preserve"> _xll.EPMOlapMemberO("[ACCOUNT].[PARENTH1].[1092109000]","","1092109000","","000")</f>
        <v>1092109000</v>
      </c>
      <c r="H14" s="80" t="str">
        <f xml:space="preserve"> _xll.EPMOlapMemberO("[BFLOW].[PARENTH1].[B99]","","B99","","000")</f>
        <v>B99</v>
      </c>
      <c r="I14" s="80" t="str">
        <f xml:space="preserve"> _xll.EPMOlapMemberO("[TPARTNER].[PARENTH1].[IC_TOTAL_THIRD]","","IC_TOTAL_THIRD","","000")</f>
        <v>IC_TOTAL_THIRD</v>
      </c>
      <c r="J14" s="79"/>
    </row>
    <row r="15" spans="1:15" hidden="1" x14ac:dyDescent="0.35">
      <c r="C15" s="60"/>
      <c r="D15" s="60"/>
      <c r="E15" s="75">
        <f t="shared" si="0"/>
        <v>0</v>
      </c>
      <c r="F15" s="92"/>
      <c r="G15" s="80" t="str">
        <f xml:space="preserve"> _xll.EPMOlapMemberO("[ACCOUNT].[PARENTH1].[2001000001]","","2001000001","","000")</f>
        <v>2001000001</v>
      </c>
      <c r="H15" s="80" t="str">
        <f xml:space="preserve"> _xll.EPMOlapMemberO("[BFLOW].[PARENTH1].[B99]","","B99","","000")</f>
        <v>B99</v>
      </c>
      <c r="I15" s="80" t="str">
        <f xml:space="preserve"> _xll.EPMOlapMemberO("[TPARTNER].[PARENTH1].[IC_TOTAL_THIRD]","","IC_TOTAL_THIRD","","000")</f>
        <v>IC_TOTAL_THIRD</v>
      </c>
      <c r="J15" s="79"/>
    </row>
    <row r="16" spans="1:15" hidden="1" x14ac:dyDescent="0.35">
      <c r="C16" s="60" t="s">
        <v>92</v>
      </c>
      <c r="D16" s="60" t="s">
        <v>93</v>
      </c>
      <c r="E16" s="75">
        <f t="shared" si="0"/>
        <v>0</v>
      </c>
      <c r="F16" s="92">
        <f>IF(OR(E16&gt;10,E16&lt;-10),1,0)</f>
        <v>0</v>
      </c>
      <c r="G16" s="80" t="str">
        <f xml:space="preserve"> _xll.EPMOlapMemberO("[ACCOUNT].[PARENTH1].[2001000001]","","2001000001","","000")</f>
        <v>2001000001</v>
      </c>
      <c r="H16" s="80" t="str">
        <f xml:space="preserve"> _xll.EPMOlapMemberO("[BFLOW].[PARENTH1].[B99]","","B99","","000")</f>
        <v>B99</v>
      </c>
      <c r="I16" s="80" t="str">
        <f xml:space="preserve"> _xll.FPMXLClient.TechnicalCategory.EPMLocalMember("","000","000")</f>
        <v/>
      </c>
      <c r="J16" s="85">
        <f>SUM(J13, J14)-J15</f>
        <v>0</v>
      </c>
    </row>
    <row r="17" spans="3:10" hidden="1" x14ac:dyDescent="0.35">
      <c r="C17" s="60"/>
      <c r="D17" s="60"/>
      <c r="E17" s="75">
        <f t="shared" si="0"/>
        <v>0</v>
      </c>
      <c r="F17" s="92"/>
      <c r="G17" s="80" t="str">
        <f xml:space="preserve"> _xll.EPMOlapMemberO("[ACCOUNT].[PARENTH1].[1001000001]","","1001000001","","000")</f>
        <v>1001000001</v>
      </c>
      <c r="H17" s="80" t="str">
        <f xml:space="preserve"> _xll.EPMOlapMemberO("[BFLOW].[PARENTH1].[TOTB]","","TOTB","","000")</f>
        <v>TOTB</v>
      </c>
      <c r="I17" s="80" t="str">
        <f xml:space="preserve"> _xll.EPMOlapMemberO("[TPARTNER].[PARENTH1].[IC_TOTAL_THIRD]","","IC_TOTAL_THIRD","","000")</f>
        <v>IC_TOTAL_THIRD</v>
      </c>
      <c r="J17" s="79"/>
    </row>
    <row r="18" spans="3:10" hidden="1" x14ac:dyDescent="0.35">
      <c r="C18" s="60"/>
      <c r="D18" s="60"/>
      <c r="E18" s="75">
        <f t="shared" si="0"/>
        <v>0</v>
      </c>
      <c r="F18" s="92"/>
      <c r="G18" s="80" t="str">
        <f xml:space="preserve"> _xll.EPMOlapMemberO("[ACCOUNT].[PARENTH1].[1001000001]","","1001000001","","000")</f>
        <v>1001000001</v>
      </c>
      <c r="H18" s="80" t="str">
        <f xml:space="preserve"> _xll.EPMOlapMemberO("[BFLOW].[PARENTH1].[B99]","","B99","","000")</f>
        <v>B99</v>
      </c>
      <c r="I18" s="80" t="str">
        <f xml:space="preserve"> _xll.EPMOlapMemberO("[TPARTNER].[PARENTH1].[IC_TOTAL_THIRD]","","IC_TOTAL_THIRD","","000")</f>
        <v>IC_TOTAL_THIRD</v>
      </c>
      <c r="J18" s="79"/>
    </row>
    <row r="19" spans="3:10" hidden="1" x14ac:dyDescent="0.35">
      <c r="C19" s="60" t="s">
        <v>94</v>
      </c>
      <c r="D19" s="60" t="s">
        <v>95</v>
      </c>
      <c r="E19" s="75">
        <f t="shared" si="0"/>
        <v>0</v>
      </c>
      <c r="F19" s="92">
        <f>IF(OR(E19&gt;10,E19&lt;-10),1,0)</f>
        <v>0</v>
      </c>
      <c r="G19" s="80" t="str">
        <f xml:space="preserve"> _xll.EPMOlapMemberO("[ACCOUNT].[PARENTH1].[GCOA]","","GCOA","","000")</f>
        <v>GCOA</v>
      </c>
      <c r="H19" s="80" t="str">
        <f xml:space="preserve"> _xll.EPMOlapMemberO("[BFLOW].[PARENTH1].[ERR]","","ERR","","000")</f>
        <v>ERR</v>
      </c>
      <c r="I19" s="80" t="str">
        <f xml:space="preserve"> _xll.FPMXLClient.TechnicalCategory.EPMLocalMember("Closing","001","000")</f>
        <v>Closing</v>
      </c>
      <c r="J19" s="85">
        <f>J17-J11</f>
        <v>0</v>
      </c>
    </row>
    <row r="20" spans="3:10" hidden="1" x14ac:dyDescent="0.35">
      <c r="C20" s="60" t="s">
        <v>96</v>
      </c>
      <c r="D20" s="60" t="s">
        <v>97</v>
      </c>
      <c r="E20" s="75">
        <f t="shared" ref="E20" si="1">SUM(J20:XX20)</f>
        <v>0</v>
      </c>
      <c r="F20" s="92">
        <f>IF(OR(E20&gt;10,E20&lt;-10),1,0)</f>
        <v>0</v>
      </c>
      <c r="G20" s="80" t="str">
        <f xml:space="preserve"> _xll.EPMOlapMemberO("[ACCOUNT].[PARENTH1].[GCOA]","","GCOA","","000")</f>
        <v>GCOA</v>
      </c>
      <c r="H20" s="80" t="str">
        <f xml:space="preserve"> _xll.EPMOlapMemberO("[BFLOW].[PARENTH1].[ERR]","","ERR","","000")</f>
        <v>ERR</v>
      </c>
      <c r="I20" s="80" t="str">
        <f xml:space="preserve"> _xll.EPMOlapMemberO("[TPARTNER].[PARENTH1].[IC_TOTAL_THIRD]","","IC_TOTAL_THIRD","","000")</f>
        <v>IC_TOTAL_THIRD</v>
      </c>
      <c r="J20" s="79"/>
    </row>
    <row r="21" spans="3:10" hidden="1" x14ac:dyDescent="0.35">
      <c r="C21" s="91">
        <v>1</v>
      </c>
      <c r="F21" s="93"/>
      <c r="J21"/>
    </row>
    <row r="22" spans="3:10" ht="15.5" hidden="1" x14ac:dyDescent="0.35">
      <c r="C22" s="74" t="s">
        <v>142</v>
      </c>
      <c r="F22" s="93"/>
      <c r="J22"/>
    </row>
    <row r="23" spans="3:10" hidden="1" x14ac:dyDescent="0.35">
      <c r="C23" s="88" t="s">
        <v>122</v>
      </c>
      <c r="D23" s="84" t="s">
        <v>134</v>
      </c>
      <c r="E23" s="75">
        <f t="shared" ref="E23" si="2">SUM(J23:XX23)</f>
        <v>0</v>
      </c>
      <c r="F23" s="92"/>
      <c r="G23" s="80" t="str">
        <f xml:space="preserve"> _xll.EPMOlapMemberO("[ACCOUNT].[PARENTH1].[GCOA]","","GCOA","","000")</f>
        <v>GCOA</v>
      </c>
      <c r="H23" s="80" t="str">
        <f xml:space="preserve"> _xll.EPMOlapMemberO("[BFLOW].[PARENTH1].[ERR]","","ERR","","000")</f>
        <v>ERR</v>
      </c>
      <c r="I23" s="80" t="str">
        <f xml:space="preserve"> _xll.FPMXLClient.TechnicalCategory.EPMLocalMember("Missing Seller","027","000")</f>
        <v>Missing Seller</v>
      </c>
      <c r="J23" s="85">
        <f>IF(COUNTIFS('Missing Seller %'!$F:$F,Validations!J10,'Missing Seller %'!$M:$M,"0")&gt;0,1,0)</f>
        <v>0</v>
      </c>
    </row>
    <row r="24" spans="3:10" hidden="1" x14ac:dyDescent="0.35">
      <c r="C24" s="88" t="s">
        <v>123</v>
      </c>
      <c r="D24" s="84" t="s">
        <v>135</v>
      </c>
      <c r="E24" s="75">
        <f t="shared" si="0"/>
        <v>0</v>
      </c>
      <c r="F24" s="92"/>
      <c r="G24" s="80" t="str">
        <f xml:space="preserve"> _xll.EPMOlapMemberO("[ACCOUNT].[PARENTH1].[GCOA]","","GCOA","","000")</f>
        <v>GCOA</v>
      </c>
      <c r="H24" s="80" t="str">
        <f xml:space="preserve"> _xll.EPMOlapMemberO("[BFLOW].[PARENTH1].[ERR]","","ERR","","000")</f>
        <v>ERR</v>
      </c>
      <c r="I24" s="80" t="str">
        <f xml:space="preserve"> _xll.FPMXLClient.TechnicalCategory.EPMLocalMember("Missing Buyer","028","000")</f>
        <v>Missing Buyer</v>
      </c>
      <c r="J24" s="85">
        <f>IF(COUNTIFS('Missing Buyer %'!$H:$H,J10&amp;" - "&amp;_xll.EPMMemberDesc(J10),'Missing Buyer %'!$M:$M,"0")&gt;0,1,0)</f>
        <v>0</v>
      </c>
    </row>
    <row r="25" spans="3:10" hidden="1" x14ac:dyDescent="0.35">
      <c r="C25" s="88" t="s">
        <v>125</v>
      </c>
      <c r="D25" s="84" t="s">
        <v>124</v>
      </c>
      <c r="E25" s="75" t="e">
        <f t="shared" ca="1" si="0"/>
        <v>#REF!</v>
      </c>
      <c r="F25" s="92"/>
      <c r="G25" s="80" t="str">
        <f xml:space="preserve"> _xll.EPMOlapMemberO("[ACCOUNT].[PARENTH1].[GCOA]","","GCOA","","000")</f>
        <v>GCOA</v>
      </c>
      <c r="H25" s="80" t="str">
        <f xml:space="preserve"> _xll.EPMOlapMemberO("[BFLOW].[PARENTH1].[ERR]","","ERR","","000")</f>
        <v>ERR</v>
      </c>
      <c r="I25" s="80" t="str">
        <f xml:space="preserve"> _xll.FPMXLClient.TechnicalCategory.EPMLocalMember("RP Payable","003","000")</f>
        <v>RP Payable</v>
      </c>
      <c r="J25" s="85" t="e">
        <f ca="1">IF(ABS(SUMIF(#REF!,J10&amp;" - "&amp;_xll.EPMMemberDesc(J10),#REF!))&gt;100,1,0)</f>
        <v>#REF!</v>
      </c>
    </row>
    <row r="26" spans="3:10" hidden="1" x14ac:dyDescent="0.35">
      <c r="C26" s="88" t="s">
        <v>127</v>
      </c>
      <c r="D26" s="84" t="s">
        <v>126</v>
      </c>
      <c r="E26" s="75" t="e">
        <f t="shared" ca="1" si="0"/>
        <v>#REF!</v>
      </c>
      <c r="F26" s="92"/>
      <c r="G26" s="80" t="str">
        <f xml:space="preserve"> _xll.EPMOlapMemberO("[ACCOUNT].[PARENTH1].[GCOA]","","GCOA","","000")</f>
        <v>GCOA</v>
      </c>
      <c r="H26" s="80" t="str">
        <f xml:space="preserve"> _xll.EPMOlapMemberO("[BFLOW].[PARENTH1].[ERR]","","ERR","","000")</f>
        <v>ERR</v>
      </c>
      <c r="I26" s="80" t="str">
        <f xml:space="preserve"> _xll.FPMXLClient.TechnicalCategory.EPMLocalMember("RP Receivable","004","000")</f>
        <v>RP Receivable</v>
      </c>
      <c r="J26" s="85" t="e">
        <f ca="1">IF(ABS(SUMIF(#REF!,J10&amp;" - "&amp;_xll.EPMMemberDesc(J10),#REF!))&gt;100,1,0)</f>
        <v>#REF!</v>
      </c>
    </row>
    <row r="27" spans="3:10" hidden="1" x14ac:dyDescent="0.35">
      <c r="C27" s="88" t="s">
        <v>147</v>
      </c>
      <c r="D27" s="84" t="s">
        <v>132</v>
      </c>
      <c r="E27" s="75">
        <f t="shared" si="0"/>
        <v>0</v>
      </c>
      <c r="F27" s="92"/>
      <c r="G27" s="80" t="str">
        <f xml:space="preserve"> _xll.EPMOlapMemberO("[ACCOUNT].[PARENTH1].[GCOA]","","GCOA","","000")</f>
        <v>GCOA</v>
      </c>
      <c r="H27" s="80" t="str">
        <f xml:space="preserve"> _xll.EPMOlapMemberO("[BFLOW].[PARENTH1].[ERR]","","ERR","","000")</f>
        <v>ERR</v>
      </c>
      <c r="I27" s="80" t="str">
        <f xml:space="preserve"> _xll.FPMXLClient.TechnicalCategory.EPMLocalMember("Capex Move","013","000")</f>
        <v>Capex Move</v>
      </c>
      <c r="J27" s="85"/>
    </row>
    <row r="28" spans="3:10" hidden="1" x14ac:dyDescent="0.35">
      <c r="C28" s="88" t="s">
        <v>147</v>
      </c>
      <c r="D28" s="84" t="s">
        <v>137</v>
      </c>
      <c r="E28" s="75">
        <f t="shared" ref="E28:E31" ca="1" si="3">SUM(J28:XX28)</f>
        <v>0</v>
      </c>
      <c r="F28" s="92"/>
      <c r="G28" s="80" t="str">
        <f xml:space="preserve"> _xll.EPMOlapMemberO("[ACCOUNT].[PARENTH1].[GCOA]","","GCOA","","000")</f>
        <v>GCOA</v>
      </c>
      <c r="H28" s="80" t="str">
        <f xml:space="preserve"> _xll.EPMOlapMemberO("[BFLOW].[PARENTH1].[ERR]","","ERR","","000")</f>
        <v>ERR</v>
      </c>
      <c r="I28" s="80" t="str">
        <f xml:space="preserve"> _xll.FPMXLClient.TechnicalCategory.EPMLocalMember("Accum Dep","016","000")</f>
        <v>Accum Dep</v>
      </c>
      <c r="J28" s="85">
        <f ca="1">IF(ABS(IFERROR(VLOOKUP(J10&amp;" - "&amp;_xll.EPMMemberDesc(J10),#REF!,17,FALSE),0))&gt;100,1,0)</f>
        <v>0</v>
      </c>
    </row>
    <row r="29" spans="3:10" hidden="1" x14ac:dyDescent="0.35">
      <c r="C29" s="88" t="s">
        <v>148</v>
      </c>
      <c r="D29" s="84" t="s">
        <v>138</v>
      </c>
      <c r="E29" s="75">
        <f t="shared" ca="1" si="3"/>
        <v>0</v>
      </c>
      <c r="F29" s="92"/>
      <c r="G29" s="80" t="str">
        <f xml:space="preserve"> _xll.EPMOlapMemberO("[ACCOUNT].[PARENTH1].[GCOA]","","GCOA","","000")</f>
        <v>GCOA</v>
      </c>
      <c r="H29" s="80" t="str">
        <f xml:space="preserve"> _xll.EPMOlapMemberO("[BFLOW].[PARENTH1].[ERR]","","ERR","","000")</f>
        <v>ERR</v>
      </c>
      <c r="I29" s="80" t="str">
        <f xml:space="preserve"> _xll.FPMXLClient.TechnicalCategory.EPMLocalMember("Prov Inv","017","000")</f>
        <v>Prov Inv</v>
      </c>
      <c r="J29" s="85">
        <f ca="1">IF(ABS(IFERROR(VLOOKUP(J10&amp;" - "&amp;_xll.EPMMemberDesc(J10),#REF!,5,FALSE),0))&gt;100,1,0)</f>
        <v>0</v>
      </c>
    </row>
    <row r="30" spans="3:10" hidden="1" x14ac:dyDescent="0.35">
      <c r="C30" s="88" t="s">
        <v>149</v>
      </c>
      <c r="D30" s="84" t="s">
        <v>139</v>
      </c>
      <c r="E30" s="75">
        <f t="shared" ca="1" si="3"/>
        <v>0</v>
      </c>
      <c r="F30" s="92"/>
      <c r="G30" s="80" t="str">
        <f xml:space="preserve"> _xll.EPMOlapMemberO("[ACCOUNT].[PARENTH1].[GCOA]","","GCOA","","000")</f>
        <v>GCOA</v>
      </c>
      <c r="H30" s="80" t="str">
        <f xml:space="preserve"> _xll.EPMOlapMemberO("[BFLOW].[PARENTH1].[ERR]","","ERR","","000")</f>
        <v>ERR</v>
      </c>
      <c r="I30" s="80" t="str">
        <f xml:space="preserve"> _xll.FPMXLClient.TechnicalCategory.EPMLocalMember("Prov Rec","018","000")</f>
        <v>Prov Rec</v>
      </c>
      <c r="J30" s="85">
        <f ca="1">IF(ABS(IFERROR(VLOOKUP(J10&amp;" - "&amp;_xll.EPMMemberDesc(J10),#REF!,12,FALSE),0))&gt;100,1,0)</f>
        <v>0</v>
      </c>
    </row>
    <row r="31" spans="3:10" hidden="1" x14ac:dyDescent="0.35">
      <c r="C31" s="88" t="s">
        <v>150</v>
      </c>
      <c r="D31" s="84" t="s">
        <v>133</v>
      </c>
      <c r="E31" s="75" t="e">
        <f t="shared" ca="1" si="3"/>
        <v>#REF!</v>
      </c>
      <c r="F31" s="92"/>
      <c r="G31" s="80" t="str">
        <f xml:space="preserve"> _xll.EPMOlapMemberO("[ACCOUNT].[PARENTH1].[GCOA]","","GCOA","","000")</f>
        <v>GCOA</v>
      </c>
      <c r="H31" s="80" t="str">
        <f xml:space="preserve"> _xll.EPMOlapMemberO("[BFLOW].[PARENTH1].[ERR]","","ERR","","000")</f>
        <v>ERR</v>
      </c>
      <c r="I31" s="80" t="str">
        <f xml:space="preserve"> _xll.FPMXLClient.TechnicalCategory.EPMLocalMember("Invest in Subs","019","000")</f>
        <v>Invest in Subs</v>
      </c>
      <c r="J31" s="85" t="e">
        <f ca="1">IF(ABS(SUMIF(#REF!,J10&amp;" - "&amp;_xll.EPMMemberDesc(J10),#REF!))&gt;100,1,0)</f>
        <v>#REF!</v>
      </c>
    </row>
    <row r="32" spans="3:10" hidden="1" x14ac:dyDescent="0.35">
      <c r="C32" s="88" t="s">
        <v>151</v>
      </c>
      <c r="D32" s="84" t="s">
        <v>141</v>
      </c>
      <c r="E32" s="75" t="e">
        <f t="shared" ref="E32:E33" ca="1" si="4">SUM(J32:XX32)</f>
        <v>#REF!</v>
      </c>
      <c r="F32" s="92"/>
      <c r="G32" s="80" t="str">
        <f xml:space="preserve"> _xll.EPMOlapMemberO("[ACCOUNT].[PARENTH1].[GCOA]","","GCOA","","000")</f>
        <v>GCOA</v>
      </c>
      <c r="H32" s="80" t="str">
        <f xml:space="preserve"> _xll.EPMOlapMemberO("[BFLOW].[PARENTH1].[ERR]","","ERR","","000")</f>
        <v>ERR</v>
      </c>
      <c r="I32" s="80" t="str">
        <f xml:space="preserve"> _xll.FPMXLClient.TechnicalCategory.EPMLocalMember("Prov Invest vs P&amp;L","020","000")</f>
        <v>Prov Invest vs P&amp;L</v>
      </c>
      <c r="J32" s="85" t="e">
        <f ca="1">IF(ABS(SUMIF(#REF!,J10&amp;" - "&amp;_xll.EPMMemberDesc(J10),#REF!))&gt;100,1,0)</f>
        <v>#REF!</v>
      </c>
    </row>
    <row r="33" spans="1:702" hidden="1" x14ac:dyDescent="0.35">
      <c r="C33" s="88" t="s">
        <v>152</v>
      </c>
      <c r="D33" s="84" t="s">
        <v>129</v>
      </c>
      <c r="E33" s="75">
        <f t="shared" ca="1" si="4"/>
        <v>0</v>
      </c>
      <c r="F33" s="92"/>
      <c r="G33" s="80" t="str">
        <f xml:space="preserve"> _xll.EPMOlapMemberO("[ACCOUNT].[PARENTH1].[GCOA]","","GCOA","","000")</f>
        <v>GCOA</v>
      </c>
      <c r="H33" s="80" t="str">
        <f xml:space="preserve"> _xll.EPMOlapMemberO("[BFLOW].[PARENTH1].[ERR]","","ERR","","000")</f>
        <v>ERR</v>
      </c>
      <c r="I33" s="80" t="str">
        <f xml:space="preserve"> _xll.FPMXLClient.TechnicalCategory.EPMLocalMember("Negative Rev","021","000")</f>
        <v>Negative Rev</v>
      </c>
      <c r="J33" s="85">
        <f ca="1">IF(ABS(IFERROR(VLOOKUP(J10&amp;" - "&amp;_xll.EPMMemberDesc(J10),#REF!,2,FALSE),0))&gt;100,1,0)</f>
        <v>0</v>
      </c>
    </row>
    <row r="34" spans="1:702" hidden="1" x14ac:dyDescent="0.35">
      <c r="C34" s="88" t="s">
        <v>153</v>
      </c>
      <c r="D34" s="84" t="s">
        <v>128</v>
      </c>
      <c r="E34" s="75">
        <f t="shared" ref="E34" ca="1" si="5">SUM(J34:XX34)</f>
        <v>0</v>
      </c>
      <c r="F34" s="92"/>
      <c r="G34" s="80" t="str">
        <f xml:space="preserve"> _xll.EPMOlapMemberO("[ACCOUNT].[PARENTH1].[GCOA]","","GCOA","","000")</f>
        <v>GCOA</v>
      </c>
      <c r="H34" s="80" t="str">
        <f xml:space="preserve"> _xll.EPMOlapMemberO("[BFLOW].[PARENTH1].[ERR]","","ERR","","000")</f>
        <v>ERR</v>
      </c>
      <c r="I34" s="80" t="str">
        <f xml:space="preserve"> _xll.FPMXLClient.TechnicalCategory.EPMLocalMember("Dividend Inc","022","000")</f>
        <v>Dividend Inc</v>
      </c>
      <c r="J34" s="85">
        <f ca="1">IF(ABS(IFERROR(VLOOKUP(J10&amp;" - "&amp;_xll.EPMMemberDesc(J10),#REF!, 2, FALSE), 0))&gt;100,1,0)</f>
        <v>0</v>
      </c>
    </row>
    <row r="35" spans="1:702" hidden="1" x14ac:dyDescent="0.35">
      <c r="C35" s="88" t="s">
        <v>154</v>
      </c>
      <c r="D35" s="84" t="s">
        <v>170</v>
      </c>
      <c r="E35" s="75"/>
      <c r="F35" s="92"/>
      <c r="G35" s="80" t="str">
        <f xml:space="preserve"> _xll.EPMOlapMemberO("[ACCOUNT].[PARENTH1].[GCOA]","","GCOA","","000")</f>
        <v>GCOA</v>
      </c>
      <c r="H35" s="80" t="str">
        <f xml:space="preserve"> _xll.EPMOlapMemberO("[BFLOW].[PARENTH1].[ERR]","","ERR","","000")</f>
        <v>ERR</v>
      </c>
      <c r="I35" s="80" t="str">
        <f xml:space="preserve"> _xll.FPMXLClient.TechnicalCategory.EPMLocalMember("Capex Addition","023","000")</f>
        <v>Capex Addition</v>
      </c>
      <c r="J35" s="85" t="e">
        <f ca="1">IF(ABS(SUMIF(#REF!,J10&amp;" - "&amp;_xll.EPMMemberDesc(J10),#REF!))&gt;100,1,0)</f>
        <v>#REF!</v>
      </c>
    </row>
    <row r="36" spans="1:702" hidden="1" x14ac:dyDescent="0.35">
      <c r="C36" s="88" t="s">
        <v>155</v>
      </c>
      <c r="D36" s="84" t="s">
        <v>171</v>
      </c>
      <c r="E36" s="75"/>
      <c r="F36" s="92"/>
      <c r="G36" s="80" t="str">
        <f xml:space="preserve"> _xll.EPMOlapMemberO("[ACCOUNT].[PARENTH1].[GCOA]","","GCOA","","000")</f>
        <v>GCOA</v>
      </c>
      <c r="H36" s="80" t="str">
        <f xml:space="preserve"> _xll.EPMOlapMemberO("[BFLOW].[PARENTH1].[ERR]","","ERR","","000")</f>
        <v>ERR</v>
      </c>
      <c r="I36" s="80" t="str">
        <f xml:space="preserve"> _xll.FPMXLClient.TechnicalCategory.EPMLocalMember("Capex Disposal","002","000")</f>
        <v>Capex Disposal</v>
      </c>
      <c r="J36" s="85" t="e">
        <f ca="1">IF(ABS(SUMIF(#REF!,J10&amp;" - "&amp;_xll.EPMMemberDesc(J10),#REF!))&gt;100,1,0)</f>
        <v>#REF!</v>
      </c>
    </row>
    <row r="37" spans="1:702" hidden="1" x14ac:dyDescent="0.35">
      <c r="C37" s="88" t="s">
        <v>156</v>
      </c>
      <c r="D37" s="84" t="s">
        <v>168</v>
      </c>
      <c r="E37" s="75" t="e">
        <f t="shared" ref="E37:E39" ca="1" si="6">SUM(J37:XX37)</f>
        <v>#REF!</v>
      </c>
      <c r="F37" s="92"/>
      <c r="G37" s="80" t="str">
        <f xml:space="preserve"> _xll.EPMOlapMemberO("[ACCOUNT].[PARENTH1].[GCOA]","","GCOA","","000")</f>
        <v>GCOA</v>
      </c>
      <c r="H37" s="80" t="str">
        <f xml:space="preserve"> _xll.EPMOlapMemberO("[BFLOW].[PARENTH1].[ERR]","","ERR","","000")</f>
        <v>ERR</v>
      </c>
      <c r="I37" s="80" t="str">
        <f xml:space="preserve"> _xll.FPMXLClient.TechnicalCategory.EPMLocalMember("Receivable Reverse","005","000")</f>
        <v>Receivable Reverse</v>
      </c>
      <c r="J37" s="85" t="e">
        <f ca="1">IF(ABS(SUMIF(#REF!,J10&amp;" - "&amp;_xll.EPMMemberDesc(J10),#REF!))&gt;100,1,0)</f>
        <v>#REF!</v>
      </c>
    </row>
    <row r="38" spans="1:702" hidden="1" x14ac:dyDescent="0.35">
      <c r="C38" s="88" t="s">
        <v>157</v>
      </c>
      <c r="D38" s="84" t="s">
        <v>167</v>
      </c>
      <c r="E38" s="75" t="e">
        <f t="shared" ca="1" si="6"/>
        <v>#REF!</v>
      </c>
      <c r="F38" s="92"/>
      <c r="G38" s="80" t="str">
        <f xml:space="preserve"> _xll.EPMOlapMemberO("[ACCOUNT].[PARENTH1].[GCOA]","","GCOA","","000")</f>
        <v>GCOA</v>
      </c>
      <c r="H38" s="80" t="str">
        <f xml:space="preserve"> _xll.EPMOlapMemberO("[BFLOW].[PARENTH1].[ERR]","","ERR","","000")</f>
        <v>ERR</v>
      </c>
      <c r="I38" s="80" t="str">
        <f xml:space="preserve"> _xll.FPMXLClient.TechnicalCategory.EPMLocalMember("Payable Reverse","006","000")</f>
        <v>Payable Reverse</v>
      </c>
      <c r="J38" s="85" t="e">
        <f ca="1">IF(ABS(SUMIF(#REF!,J10&amp;" - "&amp;_xll.EPMMemberDesc(J10),#REF!))&gt;100,1,0)</f>
        <v>#REF!</v>
      </c>
    </row>
    <row r="39" spans="1:702" hidden="1" x14ac:dyDescent="0.35">
      <c r="C39" s="88" t="s">
        <v>158</v>
      </c>
      <c r="D39" s="84" t="s">
        <v>140</v>
      </c>
      <c r="E39" s="75">
        <f t="shared" ca="1" si="6"/>
        <v>0</v>
      </c>
      <c r="F39" s="92"/>
      <c r="G39" s="80" t="str">
        <f xml:space="preserve"> _xll.EPMOlapMemberO("[ACCOUNT].[PARENTH1].[GCOA]","","GCOA","","000")</f>
        <v>GCOA</v>
      </c>
      <c r="H39" s="80" t="str">
        <f xml:space="preserve"> _xll.EPMOlapMemberO("[BFLOW].[PARENTH1].[ERR]","","ERR","","000")</f>
        <v>ERR</v>
      </c>
      <c r="I39" s="80" t="str">
        <f xml:space="preserve"> _xll.FPMXLClient.TechnicalCategory.EPMLocalMember("Reserve","024","000")</f>
        <v>Reserve</v>
      </c>
      <c r="J39" s="85">
        <f ca="1">IF(ABS(IFERROR(VLOOKUP(J10&amp;" - "&amp;_xll.EPMMemberDesc(J10),#REF!,23,FALSE),0))&gt;100,1,0)</f>
        <v>0</v>
      </c>
    </row>
    <row r="40" spans="1:702" hidden="1" x14ac:dyDescent="0.35">
      <c r="F40" s="92"/>
      <c r="G40" s="80" t="str">
        <f xml:space="preserve"> _xll.EPMOlapMemberO("[ACCOUNT].[PARENTH1].[GCOA]","","GCOA","","000")</f>
        <v>GCOA</v>
      </c>
      <c r="H40" s="80" t="str">
        <f xml:space="preserve"> _xll.EPMOlapMemberO("[BFLOW].[PARENTH1].[ERR]","","ERR","","000")</f>
        <v>ERR</v>
      </c>
      <c r="I40" s="80" t="str">
        <f xml:space="preserve"> _xll.FPMXLClient.TechnicalCategory.EPMLocalMember("Division","007","000")</f>
        <v>Division</v>
      </c>
      <c r="J40" s="80" t="str">
        <f>_xll.EPMMemberProperty("BMAIN", J10, "DIVISIONS")</f>
        <v>CORPORATE</v>
      </c>
    </row>
    <row r="41" spans="1:702" hidden="1" x14ac:dyDescent="0.35">
      <c r="C41" s="88" t="s">
        <v>227</v>
      </c>
      <c r="D41" s="84" t="s">
        <v>228</v>
      </c>
      <c r="F41" s="92"/>
      <c r="G41" s="80" t="str">
        <f xml:space="preserve"> _xll.EPMOlapMemberO("[ACCOUNT].[PARENTH1].[GCOA]","","GCOA","","000")</f>
        <v>GCOA</v>
      </c>
      <c r="H41" s="80" t="str">
        <f xml:space="preserve"> _xll.EPMOlapMemberO("[BFLOW].[PARENTH1].[ERR]","","ERR","","000")</f>
        <v>ERR</v>
      </c>
      <c r="I41" s="80" t="str">
        <f xml:space="preserve"> _xll.FPMXLClient.TechnicalCategory.EPMLocalMember("Finance/COE Cost","008","000")</f>
        <v>Finance/COE Cost</v>
      </c>
      <c r="J41" s="85">
        <f ca="1">IF(ABS(IFERROR(VLOOKUP(J10&amp;" - "&amp;_xll.EPMMemberDesc(J10),#REF!, 12, FALSE), 0))&gt;100, 1, 0)</f>
        <v>0</v>
      </c>
    </row>
    <row r="42" spans="1:702" hidden="1" x14ac:dyDescent="0.35">
      <c r="J42"/>
    </row>
    <row r="43" spans="1:702" ht="15.5" hidden="1" x14ac:dyDescent="0.35">
      <c r="A43" s="87"/>
      <c r="C43" s="147" t="s">
        <v>136</v>
      </c>
      <c r="D43" s="147"/>
      <c r="E43" s="147"/>
      <c r="F43" s="100">
        <f>SUM(F23:F39)</f>
        <v>0</v>
      </c>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89"/>
      <c r="CE43" s="89"/>
      <c r="CF43" s="89"/>
      <c r="CG43" s="89"/>
      <c r="CH43" s="89"/>
      <c r="CI43" s="89"/>
      <c r="CJ43" s="89"/>
      <c r="CK43" s="89"/>
      <c r="CL43" s="89"/>
      <c r="CM43" s="89"/>
      <c r="CN43" s="89"/>
      <c r="CO43" s="89"/>
      <c r="CP43" s="89"/>
      <c r="CQ43" s="89"/>
      <c r="CR43" s="89"/>
      <c r="CS43" s="89"/>
      <c r="CT43" s="89"/>
      <c r="CU43" s="89"/>
      <c r="CV43" s="89"/>
      <c r="CW43" s="89"/>
      <c r="CX43" s="89"/>
      <c r="CY43" s="89"/>
      <c r="CZ43" s="89"/>
      <c r="DA43" s="89"/>
      <c r="DB43" s="89"/>
      <c r="DC43" s="89"/>
      <c r="DD43" s="89"/>
      <c r="DE43" s="89"/>
      <c r="DF43" s="89"/>
      <c r="DG43" s="89"/>
      <c r="DH43" s="89"/>
      <c r="DI43" s="89"/>
      <c r="DJ43" s="89"/>
      <c r="DK43" s="89"/>
      <c r="DL43" s="89"/>
      <c r="DM43" s="89"/>
      <c r="DN43" s="89"/>
      <c r="DO43" s="89"/>
      <c r="DP43" s="89"/>
      <c r="DQ43" s="89"/>
      <c r="DR43" s="89"/>
      <c r="DS43" s="89"/>
      <c r="DT43" s="89"/>
      <c r="DU43" s="89"/>
      <c r="DV43" s="89"/>
      <c r="DW43" s="89"/>
      <c r="DX43" s="89"/>
      <c r="DY43" s="89"/>
      <c r="DZ43" s="89"/>
      <c r="EA43" s="89"/>
      <c r="EB43" s="89"/>
      <c r="EC43" s="89"/>
      <c r="ED43" s="89"/>
      <c r="EE43" s="89"/>
      <c r="EF43" s="89"/>
      <c r="EG43" s="89"/>
      <c r="EH43" s="89"/>
      <c r="EI43" s="89"/>
      <c r="EJ43" s="89"/>
      <c r="EK43" s="89"/>
      <c r="EL43" s="89"/>
      <c r="EM43" s="89"/>
      <c r="EN43" s="89"/>
      <c r="EO43" s="89"/>
      <c r="EP43" s="89"/>
      <c r="EQ43" s="89"/>
      <c r="ER43" s="89"/>
      <c r="ES43" s="89"/>
      <c r="ET43" s="89"/>
      <c r="EU43" s="89"/>
      <c r="EV43" s="89"/>
      <c r="EW43" s="89"/>
      <c r="EX43" s="89"/>
      <c r="EY43" s="89"/>
      <c r="EZ43" s="89"/>
      <c r="FA43" s="89"/>
      <c r="FB43" s="89"/>
      <c r="FC43" s="89"/>
      <c r="FD43" s="89"/>
      <c r="FE43" s="89"/>
      <c r="FF43" s="89"/>
      <c r="FG43" s="89"/>
      <c r="FH43" s="89"/>
      <c r="FI43" s="89"/>
      <c r="FJ43" s="89"/>
      <c r="FK43" s="89"/>
      <c r="FL43" s="89"/>
      <c r="FM43" s="89"/>
      <c r="FN43" s="89"/>
      <c r="FO43" s="89"/>
      <c r="FP43" s="89"/>
      <c r="FQ43" s="89"/>
      <c r="FR43" s="89"/>
      <c r="FS43" s="89"/>
      <c r="FT43" s="89"/>
      <c r="FU43" s="89"/>
      <c r="FV43" s="89"/>
      <c r="FW43" s="89"/>
      <c r="FX43" s="89"/>
      <c r="FY43" s="89"/>
      <c r="FZ43" s="89"/>
      <c r="GA43" s="89"/>
      <c r="GB43" s="89"/>
      <c r="GC43" s="89"/>
      <c r="GD43" s="89"/>
      <c r="GE43" s="89"/>
      <c r="GF43" s="89"/>
      <c r="GG43" s="89"/>
      <c r="GH43" s="89"/>
      <c r="GI43" s="89"/>
      <c r="GJ43" s="89"/>
      <c r="GK43" s="89"/>
      <c r="GL43" s="89"/>
      <c r="GM43" s="89"/>
      <c r="GN43" s="89"/>
      <c r="GO43" s="89"/>
      <c r="GP43" s="89"/>
      <c r="GQ43" s="89"/>
      <c r="GR43" s="89"/>
      <c r="GS43" s="89"/>
      <c r="GT43" s="89"/>
      <c r="GU43" s="89"/>
      <c r="GV43" s="89"/>
      <c r="GW43" s="89"/>
      <c r="GX43" s="89"/>
      <c r="GY43" s="89"/>
      <c r="GZ43" s="89"/>
      <c r="HA43" s="89"/>
      <c r="HB43" s="89"/>
      <c r="HC43" s="89"/>
      <c r="HD43" s="89"/>
      <c r="HE43" s="89"/>
      <c r="HF43" s="89"/>
      <c r="HG43" s="89"/>
      <c r="HH43" s="89"/>
      <c r="HI43" s="89"/>
      <c r="HJ43" s="89"/>
      <c r="HK43" s="89"/>
      <c r="HL43" s="89"/>
      <c r="HM43" s="89"/>
      <c r="HN43" s="89"/>
      <c r="HO43" s="89"/>
      <c r="HP43" s="89"/>
      <c r="HQ43" s="89"/>
      <c r="HR43" s="89"/>
      <c r="HS43" s="89"/>
      <c r="HT43" s="89"/>
      <c r="HU43" s="89"/>
      <c r="HV43" s="89"/>
      <c r="HW43" s="89"/>
      <c r="HX43" s="89"/>
      <c r="HY43" s="89"/>
      <c r="HZ43" s="89"/>
      <c r="IA43" s="89"/>
      <c r="IB43" s="89"/>
      <c r="IC43" s="89"/>
      <c r="ID43" s="89"/>
      <c r="IE43" s="89"/>
      <c r="IF43" s="89"/>
      <c r="IG43" s="89"/>
      <c r="IH43" s="89"/>
      <c r="II43" s="89"/>
      <c r="IJ43" s="89"/>
      <c r="IK43" s="89"/>
      <c r="IL43" s="89"/>
      <c r="IM43" s="89"/>
      <c r="IN43" s="89"/>
      <c r="IO43" s="89"/>
      <c r="IP43" s="89"/>
      <c r="IQ43" s="89"/>
      <c r="IR43" s="89"/>
      <c r="IS43" s="89"/>
      <c r="IT43" s="89"/>
      <c r="IU43" s="89"/>
      <c r="IV43" s="89"/>
      <c r="IW43" s="89"/>
      <c r="IX43" s="89"/>
      <c r="IY43" s="89"/>
      <c r="IZ43" s="89"/>
      <c r="JA43" s="89"/>
      <c r="JB43" s="89"/>
      <c r="JC43" s="89"/>
      <c r="JD43" s="89"/>
      <c r="JE43" s="89"/>
      <c r="JF43" s="89"/>
      <c r="JG43" s="89"/>
      <c r="JH43" s="89"/>
      <c r="JI43" s="89"/>
      <c r="JJ43" s="89"/>
      <c r="JK43" s="89"/>
      <c r="JL43" s="89"/>
      <c r="JM43" s="89"/>
      <c r="JN43" s="89"/>
      <c r="JO43" s="89"/>
      <c r="JP43" s="89"/>
      <c r="JQ43" s="89"/>
      <c r="JR43" s="89"/>
      <c r="JS43" s="89"/>
      <c r="JT43" s="89"/>
      <c r="JU43" s="89"/>
      <c r="JV43" s="89"/>
      <c r="JW43" s="89"/>
      <c r="JX43" s="89"/>
      <c r="JY43" s="89"/>
      <c r="JZ43" s="89"/>
      <c r="KA43" s="89"/>
      <c r="KB43" s="89"/>
      <c r="KC43" s="89"/>
      <c r="KD43" s="89"/>
      <c r="KE43" s="89"/>
      <c r="KF43" s="89"/>
      <c r="KG43" s="89"/>
      <c r="KH43" s="89"/>
      <c r="KI43" s="89"/>
      <c r="KJ43" s="89"/>
      <c r="KK43" s="89"/>
      <c r="KL43" s="89"/>
      <c r="KM43" s="89"/>
      <c r="KN43" s="89"/>
      <c r="KO43" s="89"/>
      <c r="KP43" s="89"/>
      <c r="KQ43" s="89"/>
      <c r="KR43" s="89"/>
      <c r="KS43" s="89"/>
      <c r="KT43" s="89"/>
      <c r="KU43" s="89"/>
      <c r="KV43" s="89"/>
      <c r="KW43" s="89"/>
      <c r="KX43" s="89"/>
      <c r="KY43" s="89"/>
      <c r="KZ43" s="89"/>
      <c r="LA43" s="89"/>
      <c r="LB43" s="89"/>
      <c r="LC43" s="89"/>
      <c r="LD43" s="89"/>
      <c r="LE43" s="89"/>
      <c r="LF43" s="89"/>
      <c r="LG43" s="89"/>
      <c r="LH43" s="89"/>
      <c r="LI43" s="89"/>
      <c r="LJ43" s="89"/>
      <c r="LK43" s="89"/>
      <c r="LL43" s="89"/>
      <c r="LM43" s="89"/>
      <c r="LN43" s="89"/>
      <c r="LO43" s="89"/>
      <c r="LP43" s="89"/>
      <c r="LQ43" s="89"/>
      <c r="LR43" s="89"/>
      <c r="LS43" s="89"/>
      <c r="LT43" s="89"/>
      <c r="LU43" s="89"/>
      <c r="LV43" s="89"/>
      <c r="LW43" s="89"/>
      <c r="LX43" s="89"/>
      <c r="LY43" s="89"/>
      <c r="LZ43" s="89"/>
      <c r="MA43" s="89"/>
      <c r="MB43" s="89"/>
      <c r="MC43" s="89"/>
      <c r="MD43" s="89"/>
      <c r="ME43" s="89"/>
      <c r="MF43" s="89"/>
      <c r="MG43" s="89"/>
      <c r="MH43" s="89"/>
      <c r="MI43" s="89"/>
      <c r="MJ43" s="89"/>
      <c r="MK43" s="89"/>
      <c r="ML43" s="89"/>
      <c r="MM43" s="89"/>
      <c r="MN43" s="89"/>
      <c r="MO43" s="89"/>
      <c r="MP43" s="89"/>
      <c r="MQ43" s="89"/>
      <c r="MR43" s="89"/>
      <c r="MS43" s="89"/>
      <c r="MT43" s="89"/>
      <c r="MU43" s="89"/>
      <c r="MV43" s="89"/>
      <c r="MW43" s="89"/>
      <c r="MX43" s="89"/>
      <c r="MY43" s="89"/>
      <c r="MZ43" s="89"/>
      <c r="NA43" s="89"/>
      <c r="NB43" s="89"/>
      <c r="NC43" s="89"/>
      <c r="ND43" s="89"/>
      <c r="NE43" s="89"/>
      <c r="NF43" s="89"/>
      <c r="NG43" s="89"/>
      <c r="NH43" s="89"/>
      <c r="NI43" s="89"/>
      <c r="NJ43" s="89"/>
      <c r="NK43" s="89"/>
      <c r="NL43" s="89"/>
      <c r="NM43" s="89"/>
      <c r="NN43" s="89"/>
      <c r="NO43" s="89"/>
      <c r="NP43" s="89"/>
      <c r="NQ43" s="89"/>
      <c r="NR43" s="89"/>
      <c r="NS43" s="89"/>
      <c r="NT43" s="89"/>
      <c r="NU43" s="89"/>
      <c r="NV43" s="89"/>
      <c r="NW43" s="89"/>
      <c r="NX43" s="89"/>
      <c r="NY43" s="89"/>
      <c r="NZ43" s="89"/>
      <c r="OA43" s="89"/>
      <c r="OB43" s="89"/>
      <c r="OC43" s="89"/>
      <c r="OD43" s="89"/>
      <c r="OE43" s="89"/>
      <c r="OF43" s="89"/>
      <c r="OG43" s="89"/>
      <c r="OH43" s="89"/>
      <c r="OI43" s="89"/>
      <c r="OJ43" s="89"/>
      <c r="OK43" s="89"/>
      <c r="OL43" s="89"/>
      <c r="OM43" s="89"/>
      <c r="ON43" s="89"/>
      <c r="OO43" s="89"/>
      <c r="OP43" s="89"/>
      <c r="OQ43" s="89"/>
      <c r="OR43" s="89"/>
      <c r="OS43" s="89"/>
      <c r="OT43" s="89"/>
      <c r="OU43" s="89"/>
      <c r="OV43" s="89"/>
      <c r="OW43" s="89"/>
      <c r="OX43" s="89"/>
      <c r="OY43" s="89"/>
      <c r="OZ43" s="89"/>
      <c r="PA43" s="89"/>
      <c r="PB43" s="89"/>
      <c r="PC43" s="89"/>
      <c r="PD43" s="89"/>
      <c r="PE43" s="89"/>
      <c r="PF43" s="89"/>
      <c r="PG43" s="89"/>
      <c r="PH43" s="89"/>
      <c r="PI43" s="89"/>
      <c r="PJ43" s="89"/>
      <c r="PK43" s="89"/>
      <c r="PL43" s="89"/>
      <c r="PM43" s="89"/>
      <c r="PN43" s="89"/>
      <c r="PO43" s="89"/>
      <c r="PP43" s="89"/>
      <c r="PQ43" s="89"/>
      <c r="PR43" s="89"/>
      <c r="PS43" s="89"/>
      <c r="PT43" s="89"/>
      <c r="PU43" s="89"/>
      <c r="PV43" s="89"/>
      <c r="PW43" s="89"/>
      <c r="PX43" s="89"/>
      <c r="PY43" s="89"/>
      <c r="PZ43" s="89"/>
      <c r="QA43" s="89"/>
      <c r="QB43" s="89"/>
      <c r="QC43" s="89"/>
      <c r="QD43" s="89"/>
      <c r="QE43" s="89"/>
      <c r="QF43" s="89"/>
      <c r="QG43" s="89"/>
      <c r="QH43" s="89"/>
      <c r="QI43" s="89"/>
      <c r="QJ43" s="89"/>
      <c r="QK43" s="89"/>
      <c r="QL43" s="89"/>
      <c r="QM43" s="89"/>
      <c r="QN43" s="89"/>
      <c r="QO43" s="89"/>
      <c r="QP43" s="89"/>
      <c r="QQ43" s="89"/>
      <c r="QR43" s="89"/>
      <c r="QS43" s="89"/>
      <c r="QT43" s="89"/>
      <c r="QU43" s="89"/>
      <c r="QV43" s="89"/>
      <c r="QW43" s="89"/>
      <c r="QX43" s="89"/>
      <c r="QY43" s="89"/>
      <c r="QZ43" s="89"/>
      <c r="RA43" s="89"/>
      <c r="RB43" s="89"/>
      <c r="RC43" s="89"/>
      <c r="RD43" s="89"/>
      <c r="RE43" s="89"/>
      <c r="RF43" s="89"/>
      <c r="RG43" s="89"/>
      <c r="RH43" s="89"/>
      <c r="RI43" s="89"/>
      <c r="RJ43" s="89"/>
      <c r="RK43" s="89"/>
      <c r="RL43" s="89"/>
      <c r="RM43" s="89"/>
      <c r="RN43" s="89"/>
      <c r="RO43" s="89"/>
      <c r="RP43" s="89"/>
      <c r="RQ43" s="89"/>
      <c r="RR43" s="89"/>
      <c r="RS43" s="89"/>
      <c r="RT43" s="89"/>
      <c r="RU43" s="89"/>
      <c r="RV43" s="89"/>
      <c r="RW43" s="89"/>
      <c r="RX43" s="89"/>
      <c r="RY43" s="89"/>
      <c r="RZ43" s="89"/>
      <c r="SA43" s="89"/>
      <c r="SB43" s="89"/>
      <c r="SC43" s="89"/>
      <c r="SD43" s="89"/>
      <c r="SE43" s="89"/>
      <c r="SF43" s="89"/>
      <c r="SG43" s="89"/>
      <c r="SH43" s="89"/>
      <c r="SI43" s="89"/>
      <c r="SJ43" s="89"/>
      <c r="SK43" s="89"/>
      <c r="SL43" s="89"/>
      <c r="SM43" s="89"/>
      <c r="SN43" s="89"/>
      <c r="SO43" s="89"/>
      <c r="SP43" s="89"/>
      <c r="SQ43" s="89"/>
      <c r="SR43" s="89"/>
      <c r="SS43" s="89"/>
      <c r="ST43" s="89"/>
      <c r="SU43" s="89"/>
      <c r="SV43" s="89"/>
      <c r="SW43" s="89"/>
      <c r="SX43" s="89"/>
      <c r="SY43" s="89"/>
      <c r="SZ43" s="89"/>
      <c r="TA43" s="89"/>
      <c r="TB43" s="89"/>
      <c r="TC43" s="89"/>
      <c r="TD43" s="89"/>
      <c r="TE43" s="89"/>
      <c r="TF43" s="89"/>
      <c r="TG43" s="89"/>
      <c r="TH43" s="89"/>
      <c r="TI43" s="89"/>
      <c r="TJ43" s="89"/>
      <c r="TK43" s="89"/>
      <c r="TL43" s="89"/>
      <c r="TM43" s="89"/>
      <c r="TN43" s="89"/>
      <c r="TO43" s="89"/>
      <c r="TP43" s="89"/>
      <c r="TQ43" s="89"/>
      <c r="TR43" s="89"/>
      <c r="TS43" s="89"/>
      <c r="TT43" s="89"/>
      <c r="TU43" s="89"/>
      <c r="TV43" s="89"/>
      <c r="TW43" s="89"/>
      <c r="TX43" s="89"/>
      <c r="TY43" s="89"/>
      <c r="TZ43" s="89"/>
      <c r="UA43" s="89"/>
      <c r="UB43" s="89"/>
      <c r="UC43" s="89"/>
      <c r="UD43" s="89"/>
      <c r="UE43" s="89"/>
      <c r="UF43" s="89"/>
      <c r="UG43" s="89"/>
      <c r="UH43" s="89"/>
      <c r="UI43" s="89"/>
      <c r="UJ43" s="89"/>
      <c r="UK43" s="89"/>
      <c r="UL43" s="89"/>
      <c r="UM43" s="89"/>
      <c r="UN43" s="89"/>
      <c r="UO43" s="89"/>
      <c r="UP43" s="89"/>
      <c r="UQ43" s="89"/>
      <c r="UR43" s="89"/>
      <c r="US43" s="89"/>
      <c r="UT43" s="89"/>
      <c r="UU43" s="89"/>
      <c r="UV43" s="89"/>
      <c r="UW43" s="89"/>
      <c r="UX43" s="89"/>
      <c r="UY43" s="89"/>
      <c r="UZ43" s="89"/>
      <c r="VA43" s="89"/>
      <c r="VB43" s="89"/>
      <c r="VC43" s="89"/>
      <c r="VD43" s="89"/>
      <c r="VE43" s="89"/>
      <c r="VF43" s="89"/>
      <c r="VG43" s="89"/>
      <c r="VH43" s="89"/>
      <c r="VI43" s="89"/>
      <c r="VJ43" s="89"/>
      <c r="VK43" s="89"/>
      <c r="VL43" s="89"/>
      <c r="VM43" s="89"/>
      <c r="VN43" s="89"/>
      <c r="VO43" s="89"/>
      <c r="VP43" s="89"/>
      <c r="VQ43" s="89"/>
      <c r="VR43" s="89"/>
      <c r="VS43" s="89"/>
      <c r="VT43" s="89"/>
      <c r="VU43" s="89"/>
      <c r="VV43" s="89"/>
      <c r="VW43" s="89"/>
      <c r="VX43" s="89"/>
      <c r="VY43" s="89"/>
      <c r="VZ43" s="89"/>
      <c r="WA43" s="89"/>
      <c r="WB43" s="89"/>
      <c r="WC43" s="89"/>
      <c r="WD43" s="89"/>
      <c r="WE43" s="89"/>
      <c r="WF43" s="89"/>
      <c r="WG43" s="89"/>
      <c r="WH43" s="89"/>
      <c r="WI43" s="89"/>
      <c r="WJ43" s="89"/>
      <c r="WK43" s="89"/>
      <c r="WL43" s="89"/>
      <c r="WM43" s="89"/>
      <c r="WN43" s="89"/>
      <c r="WO43" s="89"/>
      <c r="WP43" s="89"/>
      <c r="WQ43" s="89"/>
      <c r="WR43" s="89"/>
      <c r="WS43" s="89"/>
      <c r="WT43" s="89"/>
      <c r="WU43" s="89"/>
      <c r="WV43" s="89"/>
      <c r="WW43" s="89"/>
      <c r="WX43" s="89"/>
      <c r="WY43" s="89"/>
      <c r="WZ43" s="89"/>
      <c r="XA43" s="89"/>
      <c r="XB43" s="89"/>
      <c r="XC43" s="89"/>
      <c r="XD43" s="89"/>
      <c r="XE43" s="89"/>
      <c r="XF43" s="89"/>
      <c r="XG43" s="89"/>
      <c r="XH43" s="89"/>
      <c r="XI43" s="89"/>
      <c r="XJ43" s="89"/>
      <c r="XK43" s="89"/>
      <c r="XL43" s="89"/>
      <c r="XM43" s="89"/>
      <c r="XN43" s="89"/>
      <c r="XO43" s="89"/>
      <c r="XP43" s="89"/>
      <c r="XQ43" s="89"/>
      <c r="XR43" s="89"/>
      <c r="XS43" s="89"/>
      <c r="XT43" s="89"/>
      <c r="XU43" s="89"/>
      <c r="XV43" s="89"/>
      <c r="XW43" s="89"/>
      <c r="XX43" s="89"/>
      <c r="XY43" s="89"/>
      <c r="XZ43" s="89"/>
      <c r="YA43" s="89"/>
      <c r="YB43" s="89"/>
      <c r="YC43" s="89"/>
      <c r="YD43" s="89"/>
      <c r="YE43" s="89"/>
      <c r="YF43" s="89"/>
      <c r="YG43" s="89"/>
      <c r="YH43" s="89"/>
      <c r="YI43" s="89"/>
      <c r="YJ43" s="89"/>
      <c r="YK43" s="89"/>
      <c r="YL43" s="89"/>
      <c r="YM43" s="89"/>
      <c r="YN43" s="89"/>
      <c r="YO43" s="89"/>
      <c r="YP43" s="89"/>
      <c r="YQ43" s="89"/>
      <c r="YR43" s="89"/>
      <c r="YS43" s="89"/>
      <c r="YT43" s="89"/>
      <c r="YU43" s="89"/>
      <c r="YV43" s="89"/>
      <c r="YW43" s="89"/>
      <c r="YX43" s="89"/>
      <c r="YY43" s="89"/>
      <c r="YZ43" s="89"/>
      <c r="ZA43" s="89"/>
      <c r="ZB43" s="89"/>
      <c r="ZC43" s="89"/>
      <c r="ZD43" s="89"/>
      <c r="ZE43" s="89"/>
      <c r="ZF43" s="89"/>
      <c r="ZG43" s="89"/>
      <c r="ZH43" s="89"/>
      <c r="ZI43" s="89"/>
      <c r="ZJ43" s="89"/>
      <c r="ZK43" s="89"/>
      <c r="ZL43" s="89"/>
      <c r="ZM43" s="89"/>
      <c r="ZN43" s="89"/>
      <c r="ZO43" s="89"/>
      <c r="ZP43" s="89"/>
      <c r="ZQ43" s="89"/>
      <c r="ZR43" s="89"/>
      <c r="ZS43" s="89"/>
      <c r="ZT43" s="89"/>
      <c r="ZU43" s="89"/>
      <c r="ZV43" s="89"/>
      <c r="ZW43" s="89"/>
      <c r="ZX43" s="89"/>
      <c r="ZY43" s="89"/>
      <c r="ZZ43" s="89"/>
    </row>
    <row r="44" spans="1:702" s="89" customFormat="1" hidden="1" x14ac:dyDescent="0.35">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row>
    <row r="45" spans="1:702" hidden="1" x14ac:dyDescent="0.35">
      <c r="J45"/>
    </row>
    <row r="46" spans="1:702" hidden="1" x14ac:dyDescent="0.35">
      <c r="J46"/>
    </row>
    <row r="47" spans="1:702" hidden="1" x14ac:dyDescent="0.35">
      <c r="J47"/>
    </row>
    <row r="48" spans="1:702" hidden="1" x14ac:dyDescent="0.35">
      <c r="J48"/>
    </row>
    <row r="49" spans="3:19" hidden="1" x14ac:dyDescent="0.35">
      <c r="J49"/>
    </row>
    <row r="50" spans="3:19" hidden="1" x14ac:dyDescent="0.35">
      <c r="J50"/>
    </row>
    <row r="51" spans="3:19" hidden="1" x14ac:dyDescent="0.35">
      <c r="J51"/>
    </row>
    <row r="52" spans="3:19" hidden="1" x14ac:dyDescent="0.35">
      <c r="J52"/>
    </row>
    <row r="53" spans="3:19" hidden="1" x14ac:dyDescent="0.35">
      <c r="J53"/>
    </row>
    <row r="54" spans="3:19" x14ac:dyDescent="0.35">
      <c r="C54" s="82" t="s">
        <v>120</v>
      </c>
      <c r="D54" s="82" t="s">
        <v>85</v>
      </c>
      <c r="E54" s="102" t="s">
        <v>86</v>
      </c>
      <c r="F54" s="102" t="s">
        <v>87</v>
      </c>
      <c r="G54" s="102" t="s">
        <v>121</v>
      </c>
      <c r="H54" s="102" t="s">
        <v>75</v>
      </c>
      <c r="I54" s="102" t="s">
        <v>68</v>
      </c>
      <c r="J54" s="103" t="s">
        <v>175</v>
      </c>
      <c r="K54" s="103" t="s">
        <v>176</v>
      </c>
      <c r="L54" s="103" t="s">
        <v>177</v>
      </c>
      <c r="M54" s="103" t="s">
        <v>178</v>
      </c>
      <c r="N54" s="103" t="s">
        <v>179</v>
      </c>
      <c r="O54" s="103" t="s">
        <v>180</v>
      </c>
      <c r="P54" s="103" t="s">
        <v>181</v>
      </c>
      <c r="Q54" s="103" t="s">
        <v>182</v>
      </c>
      <c r="R54" s="103" t="s">
        <v>183</v>
      </c>
      <c r="S54" s="103" t="s">
        <v>184</v>
      </c>
    </row>
    <row r="55" spans="3:19" x14ac:dyDescent="0.35">
      <c r="C55" s="60" t="s">
        <v>88</v>
      </c>
      <c r="D55" s="60" t="s">
        <v>89</v>
      </c>
      <c r="E55" s="75">
        <f>SUM(J55:XX55)</f>
        <v>0</v>
      </c>
      <c r="F55" s="92">
        <f>IF(OR(E55&gt;100,E55&lt;-100),1,0)</f>
        <v>0</v>
      </c>
      <c r="G55" s="106" t="s">
        <v>185</v>
      </c>
      <c r="H55" s="106" t="s">
        <v>186</v>
      </c>
      <c r="I55" s="106" t="s">
        <v>187</v>
      </c>
      <c r="J55" s="107">
        <f t="shared" ref="J55:S55" si="7">SUMIF($40:$40,J$54,11:11)</f>
        <v>0</v>
      </c>
      <c r="K55" s="107">
        <f t="shared" si="7"/>
        <v>0</v>
      </c>
      <c r="L55" s="107">
        <f t="shared" si="7"/>
        <v>0</v>
      </c>
      <c r="M55" s="107">
        <f t="shared" si="7"/>
        <v>0</v>
      </c>
      <c r="N55" s="107">
        <f t="shared" si="7"/>
        <v>0</v>
      </c>
      <c r="O55" s="107">
        <f t="shared" si="7"/>
        <v>0</v>
      </c>
      <c r="P55" s="107">
        <f t="shared" si="7"/>
        <v>0</v>
      </c>
      <c r="Q55" s="107">
        <f t="shared" si="7"/>
        <v>0</v>
      </c>
      <c r="R55" s="107">
        <f t="shared" si="7"/>
        <v>0</v>
      </c>
      <c r="S55" s="107">
        <f t="shared" si="7"/>
        <v>0</v>
      </c>
    </row>
    <row r="56" spans="3:19" x14ac:dyDescent="0.35">
      <c r="C56" s="60" t="s">
        <v>90</v>
      </c>
      <c r="D56" s="60" t="s">
        <v>91</v>
      </c>
      <c r="E56" s="75">
        <f>SUM(J56:XX56)</f>
        <v>0</v>
      </c>
      <c r="F56" s="92">
        <f>IF(OR(E56&gt;100,E56&lt;-100),1,0)</f>
        <v>0</v>
      </c>
      <c r="G56" s="106" t="s">
        <v>185</v>
      </c>
      <c r="H56" s="106" t="s">
        <v>188</v>
      </c>
      <c r="I56" s="106" t="s">
        <v>187</v>
      </c>
      <c r="J56" s="107">
        <f t="shared" ref="J56:S56" si="8">SUMIF($40:$40,J$54,12:12)</f>
        <v>0</v>
      </c>
      <c r="K56" s="107">
        <f t="shared" si="8"/>
        <v>0</v>
      </c>
      <c r="L56" s="107">
        <f t="shared" si="8"/>
        <v>0</v>
      </c>
      <c r="M56" s="107">
        <f t="shared" si="8"/>
        <v>0</v>
      </c>
      <c r="N56" s="107">
        <f t="shared" si="8"/>
        <v>0</v>
      </c>
      <c r="O56" s="107">
        <f t="shared" si="8"/>
        <v>0</v>
      </c>
      <c r="P56" s="107">
        <f t="shared" si="8"/>
        <v>0</v>
      </c>
      <c r="Q56" s="107">
        <f t="shared" si="8"/>
        <v>0</v>
      </c>
      <c r="R56" s="107">
        <f t="shared" si="8"/>
        <v>0</v>
      </c>
      <c r="S56" s="107">
        <f t="shared" si="8"/>
        <v>0</v>
      </c>
    </row>
    <row r="57" spans="3:19" x14ac:dyDescent="0.35">
      <c r="C57" s="60" t="s">
        <v>92</v>
      </c>
      <c r="D57" s="60" t="s">
        <v>93</v>
      </c>
      <c r="E57" s="75">
        <f>SUM(J57:XX57)</f>
        <v>0</v>
      </c>
      <c r="F57" s="92">
        <f>IF(OR(E57&gt;100,E57&lt;-100),1,0)</f>
        <v>0</v>
      </c>
      <c r="G57" s="106" t="s">
        <v>189</v>
      </c>
      <c r="H57" s="106" t="s">
        <v>186</v>
      </c>
      <c r="I57" s="106" t="s">
        <v>190</v>
      </c>
      <c r="J57" s="107">
        <f t="shared" ref="J57:S57" si="9">SUMIF($40:$40,J$54,16:16)</f>
        <v>0</v>
      </c>
      <c r="K57" s="107">
        <f t="shared" si="9"/>
        <v>0</v>
      </c>
      <c r="L57" s="107">
        <f t="shared" si="9"/>
        <v>0</v>
      </c>
      <c r="M57" s="107">
        <f t="shared" si="9"/>
        <v>0</v>
      </c>
      <c r="N57" s="107">
        <f t="shared" si="9"/>
        <v>0</v>
      </c>
      <c r="O57" s="107">
        <f t="shared" si="9"/>
        <v>0</v>
      </c>
      <c r="P57" s="107">
        <f t="shared" si="9"/>
        <v>0</v>
      </c>
      <c r="Q57" s="107">
        <f t="shared" si="9"/>
        <v>0</v>
      </c>
      <c r="R57" s="107">
        <f t="shared" si="9"/>
        <v>0</v>
      </c>
      <c r="S57" s="107">
        <f t="shared" si="9"/>
        <v>0</v>
      </c>
    </row>
    <row r="58" spans="3:19" x14ac:dyDescent="0.35">
      <c r="C58" s="60" t="s">
        <v>94</v>
      </c>
      <c r="D58" s="60" t="s">
        <v>95</v>
      </c>
      <c r="E58" s="75">
        <f>SUM(J58:XX58)</f>
        <v>0</v>
      </c>
      <c r="F58" s="92">
        <f>IF(OR(E58&gt;100,E58&lt;-100),1,0)</f>
        <v>0</v>
      </c>
      <c r="G58" s="106" t="s">
        <v>191</v>
      </c>
      <c r="H58" s="106" t="s">
        <v>192</v>
      </c>
      <c r="I58" s="106" t="s">
        <v>193</v>
      </c>
      <c r="J58" s="107">
        <f t="shared" ref="J58:S58" si="10">SUMIF($40:$40,J$54,19:19)</f>
        <v>0</v>
      </c>
      <c r="K58" s="107">
        <f t="shared" si="10"/>
        <v>0</v>
      </c>
      <c r="L58" s="107">
        <f t="shared" si="10"/>
        <v>0</v>
      </c>
      <c r="M58" s="107">
        <f t="shared" si="10"/>
        <v>0</v>
      </c>
      <c r="N58" s="107">
        <f t="shared" si="10"/>
        <v>0</v>
      </c>
      <c r="O58" s="107">
        <f t="shared" si="10"/>
        <v>0</v>
      </c>
      <c r="P58" s="107">
        <f t="shared" si="10"/>
        <v>0</v>
      </c>
      <c r="Q58" s="107">
        <f t="shared" si="10"/>
        <v>0</v>
      </c>
      <c r="R58" s="107">
        <f t="shared" si="10"/>
        <v>0</v>
      </c>
      <c r="S58" s="107">
        <f t="shared" si="10"/>
        <v>0</v>
      </c>
    </row>
    <row r="59" spans="3:19" x14ac:dyDescent="0.35">
      <c r="C59" s="60" t="s">
        <v>96</v>
      </c>
      <c r="D59" s="60" t="s">
        <v>97</v>
      </c>
      <c r="E59" s="75">
        <f>SUM(J59:XX59)</f>
        <v>0</v>
      </c>
      <c r="F59" s="92">
        <f>IF(OR(E59&gt;100,E59&lt;-100),1,0)</f>
        <v>0</v>
      </c>
      <c r="G59" s="106" t="s">
        <v>191</v>
      </c>
      <c r="H59" s="106" t="s">
        <v>192</v>
      </c>
      <c r="I59" s="106" t="s">
        <v>187</v>
      </c>
      <c r="J59" s="107">
        <f t="shared" ref="J59:S59" si="11">SUMIF($40:$40,J$54,20:20)</f>
        <v>0</v>
      </c>
      <c r="K59" s="107">
        <f t="shared" si="11"/>
        <v>0</v>
      </c>
      <c r="L59" s="107">
        <f t="shared" si="11"/>
        <v>0</v>
      </c>
      <c r="M59" s="107">
        <f t="shared" si="11"/>
        <v>0</v>
      </c>
      <c r="N59" s="107">
        <f t="shared" si="11"/>
        <v>0</v>
      </c>
      <c r="O59" s="107">
        <f t="shared" si="11"/>
        <v>0</v>
      </c>
      <c r="P59" s="107">
        <f t="shared" si="11"/>
        <v>0</v>
      </c>
      <c r="Q59" s="107">
        <f t="shared" si="11"/>
        <v>0</v>
      </c>
      <c r="R59" s="107">
        <f t="shared" si="11"/>
        <v>0</v>
      </c>
      <c r="S59" s="107">
        <f t="shared" si="11"/>
        <v>0</v>
      </c>
    </row>
    <row r="60" spans="3:19" x14ac:dyDescent="0.35">
      <c r="E60" s="2"/>
      <c r="F60" s="2"/>
      <c r="G60" s="2"/>
      <c r="H60" s="2"/>
      <c r="I60" s="2"/>
      <c r="J60" s="2"/>
      <c r="K60" s="2"/>
      <c r="L60" s="2"/>
      <c r="M60" s="2"/>
      <c r="N60" s="2"/>
      <c r="O60" s="2"/>
      <c r="P60" s="2"/>
      <c r="Q60" s="2"/>
      <c r="R60" s="2"/>
      <c r="S60" s="2"/>
    </row>
    <row r="61" spans="3:19" hidden="1" x14ac:dyDescent="0.35">
      <c r="E61" s="2"/>
      <c r="F61" s="2"/>
      <c r="G61" s="2"/>
      <c r="H61" s="2"/>
      <c r="I61" s="2"/>
      <c r="J61" s="2"/>
      <c r="K61" s="2"/>
      <c r="L61" s="2"/>
      <c r="M61" s="2"/>
      <c r="N61" s="2"/>
      <c r="O61" s="2"/>
      <c r="P61" s="2"/>
      <c r="Q61" s="2"/>
      <c r="R61" s="2"/>
      <c r="S61" s="2"/>
    </row>
    <row r="62" spans="3:19" hidden="1" x14ac:dyDescent="0.35">
      <c r="E62" s="2"/>
      <c r="F62" s="2"/>
      <c r="G62" s="2"/>
      <c r="H62" s="2"/>
      <c r="I62" s="2"/>
      <c r="J62" s="2"/>
      <c r="K62" s="2"/>
      <c r="L62" s="2"/>
      <c r="M62" s="2"/>
      <c r="N62" s="2"/>
      <c r="O62" s="2"/>
      <c r="P62" s="2"/>
      <c r="Q62" s="2"/>
      <c r="R62" s="2"/>
      <c r="S62" s="2"/>
    </row>
    <row r="63" spans="3:19" hidden="1" x14ac:dyDescent="0.35">
      <c r="E63" s="2"/>
      <c r="F63" s="2"/>
      <c r="G63" s="2"/>
      <c r="H63" s="2"/>
      <c r="I63" s="2"/>
      <c r="J63" s="2"/>
      <c r="K63" s="2"/>
      <c r="L63" s="2"/>
      <c r="M63" s="2"/>
      <c r="N63" s="2"/>
      <c r="O63" s="2"/>
      <c r="P63" s="2"/>
      <c r="Q63" s="2"/>
      <c r="R63" s="2"/>
      <c r="S63" s="2"/>
    </row>
    <row r="64" spans="3:19" ht="15.5" x14ac:dyDescent="0.35">
      <c r="C64" s="74" t="s">
        <v>142</v>
      </c>
      <c r="E64" s="2"/>
      <c r="F64" s="2"/>
      <c r="G64" s="2"/>
      <c r="H64" s="2"/>
      <c r="I64" s="2"/>
      <c r="J64" s="2"/>
      <c r="K64" s="2"/>
      <c r="L64" s="2"/>
      <c r="M64" s="2"/>
      <c r="N64" s="2"/>
      <c r="O64" s="2"/>
      <c r="P64" s="2"/>
      <c r="Q64" s="2"/>
      <c r="R64" s="2"/>
      <c r="S64" s="2"/>
    </row>
    <row r="65" spans="3:19" x14ac:dyDescent="0.35">
      <c r="C65" s="88" t="s">
        <v>122</v>
      </c>
      <c r="D65" s="84" t="s">
        <v>134</v>
      </c>
      <c r="E65" s="104">
        <v>1</v>
      </c>
      <c r="F65" s="105">
        <f>SUM(J65:S65)</f>
        <v>0</v>
      </c>
      <c r="G65" s="106" t="s">
        <v>194</v>
      </c>
      <c r="H65" s="106" t="s">
        <v>195</v>
      </c>
      <c r="I65" s="106" t="s">
        <v>196</v>
      </c>
      <c r="J65" s="108">
        <f t="shared" ref="J65:S65" si="12">SUMIF($40:$40,J$54,23:23)</f>
        <v>0</v>
      </c>
      <c r="K65" s="108">
        <f t="shared" si="12"/>
        <v>0</v>
      </c>
      <c r="L65" s="108">
        <f t="shared" si="12"/>
        <v>0</v>
      </c>
      <c r="M65" s="108">
        <f t="shared" si="12"/>
        <v>0</v>
      </c>
      <c r="N65" s="108">
        <f t="shared" si="12"/>
        <v>0</v>
      </c>
      <c r="O65" s="108">
        <f t="shared" si="12"/>
        <v>0</v>
      </c>
      <c r="P65" s="108">
        <f t="shared" si="12"/>
        <v>0</v>
      </c>
      <c r="Q65" s="108">
        <f t="shared" si="12"/>
        <v>0</v>
      </c>
      <c r="R65" s="108">
        <f t="shared" si="12"/>
        <v>0</v>
      </c>
      <c r="S65" s="108">
        <f t="shared" si="12"/>
        <v>0</v>
      </c>
    </row>
    <row r="66" spans="3:19" x14ac:dyDescent="0.35">
      <c r="C66" s="88" t="s">
        <v>123</v>
      </c>
      <c r="D66" s="84" t="s">
        <v>135</v>
      </c>
      <c r="E66" s="104">
        <v>0</v>
      </c>
      <c r="F66" s="105">
        <f t="shared" ref="F66:F82" si="13">SUM(J66:S66)</f>
        <v>0</v>
      </c>
      <c r="G66" s="106" t="s">
        <v>194</v>
      </c>
      <c r="H66" s="106" t="s">
        <v>195</v>
      </c>
      <c r="I66" s="106" t="s">
        <v>197</v>
      </c>
      <c r="J66" s="108">
        <f t="shared" ref="J66:S66" si="14">SUMIF($40:$40,J$54,24:24)</f>
        <v>0</v>
      </c>
      <c r="K66" s="108">
        <f t="shared" si="14"/>
        <v>0</v>
      </c>
      <c r="L66" s="108">
        <f t="shared" si="14"/>
        <v>0</v>
      </c>
      <c r="M66" s="108">
        <f t="shared" si="14"/>
        <v>0</v>
      </c>
      <c r="N66" s="108">
        <f t="shared" si="14"/>
        <v>0</v>
      </c>
      <c r="O66" s="108">
        <f t="shared" si="14"/>
        <v>0</v>
      </c>
      <c r="P66" s="108">
        <f t="shared" si="14"/>
        <v>0</v>
      </c>
      <c r="Q66" s="108">
        <f t="shared" si="14"/>
        <v>0</v>
      </c>
      <c r="R66" s="108">
        <f t="shared" si="14"/>
        <v>0</v>
      </c>
      <c r="S66" s="108">
        <f t="shared" si="14"/>
        <v>0</v>
      </c>
    </row>
    <row r="67" spans="3:19" x14ac:dyDescent="0.35">
      <c r="C67" s="88" t="s">
        <v>125</v>
      </c>
      <c r="D67" s="84" t="s">
        <v>124</v>
      </c>
      <c r="E67" s="104">
        <v>65</v>
      </c>
      <c r="F67" s="105" t="e">
        <f t="shared" ca="1" si="13"/>
        <v>#REF!</v>
      </c>
      <c r="G67" s="106" t="s">
        <v>198</v>
      </c>
      <c r="H67" s="106" t="s">
        <v>195</v>
      </c>
      <c r="I67" s="106" t="s">
        <v>199</v>
      </c>
      <c r="J67" s="108" t="e">
        <f t="shared" ref="J67:S67" ca="1" si="15">SUMIF($40:$40,J$54,25:25)</f>
        <v>#REF!</v>
      </c>
      <c r="K67" s="108">
        <f t="shared" si="15"/>
        <v>0</v>
      </c>
      <c r="L67" s="108">
        <f t="shared" si="15"/>
        <v>0</v>
      </c>
      <c r="M67" s="108">
        <f t="shared" si="15"/>
        <v>0</v>
      </c>
      <c r="N67" s="108">
        <f t="shared" si="15"/>
        <v>0</v>
      </c>
      <c r="O67" s="108">
        <f t="shared" si="15"/>
        <v>0</v>
      </c>
      <c r="P67" s="108">
        <f t="shared" si="15"/>
        <v>0</v>
      </c>
      <c r="Q67" s="108">
        <f t="shared" si="15"/>
        <v>0</v>
      </c>
      <c r="R67" s="108">
        <f t="shared" si="15"/>
        <v>0</v>
      </c>
      <c r="S67" s="108">
        <f t="shared" si="15"/>
        <v>0</v>
      </c>
    </row>
    <row r="68" spans="3:19" x14ac:dyDescent="0.35">
      <c r="C68" s="88" t="s">
        <v>127</v>
      </c>
      <c r="D68" s="84" t="s">
        <v>126</v>
      </c>
      <c r="E68" s="104">
        <v>72</v>
      </c>
      <c r="F68" s="105" t="e">
        <f t="shared" ca="1" si="13"/>
        <v>#REF!</v>
      </c>
      <c r="G68" s="106" t="s">
        <v>200</v>
      </c>
      <c r="H68" s="106" t="s">
        <v>195</v>
      </c>
      <c r="I68" s="106" t="s">
        <v>201</v>
      </c>
      <c r="J68" s="108" t="e">
        <f t="shared" ref="J68:S68" ca="1" si="16">SUMIF($40:$40,J$54,26:26)</f>
        <v>#REF!</v>
      </c>
      <c r="K68" s="108">
        <f t="shared" si="16"/>
        <v>0</v>
      </c>
      <c r="L68" s="108">
        <f t="shared" si="16"/>
        <v>0</v>
      </c>
      <c r="M68" s="108">
        <f t="shared" si="16"/>
        <v>0</v>
      </c>
      <c r="N68" s="108">
        <f t="shared" si="16"/>
        <v>0</v>
      </c>
      <c r="O68" s="108">
        <f t="shared" si="16"/>
        <v>0</v>
      </c>
      <c r="P68" s="108">
        <f t="shared" si="16"/>
        <v>0</v>
      </c>
      <c r="Q68" s="108">
        <f t="shared" si="16"/>
        <v>0</v>
      </c>
      <c r="R68" s="108">
        <f t="shared" si="16"/>
        <v>0</v>
      </c>
      <c r="S68" s="108">
        <f t="shared" si="16"/>
        <v>0</v>
      </c>
    </row>
    <row r="69" spans="3:19" x14ac:dyDescent="0.35">
      <c r="C69" s="88"/>
      <c r="D69" s="84"/>
      <c r="E69" s="104"/>
      <c r="F69" s="105"/>
      <c r="G69" s="106"/>
      <c r="H69" s="106"/>
      <c r="I69" s="106"/>
      <c r="J69" s="108">
        <f t="shared" ref="J69:S69" si="17">SUMIF($40:$40,J$54,27:27)</f>
        <v>0</v>
      </c>
      <c r="K69" s="108">
        <f t="shared" si="17"/>
        <v>0</v>
      </c>
      <c r="L69" s="108">
        <f t="shared" si="17"/>
        <v>0</v>
      </c>
      <c r="M69" s="108">
        <f t="shared" si="17"/>
        <v>0</v>
      </c>
      <c r="N69" s="108">
        <f t="shared" si="17"/>
        <v>0</v>
      </c>
      <c r="O69" s="108">
        <f t="shared" si="17"/>
        <v>0</v>
      </c>
      <c r="P69" s="108">
        <f t="shared" si="17"/>
        <v>0</v>
      </c>
      <c r="Q69" s="108">
        <f t="shared" si="17"/>
        <v>0</v>
      </c>
      <c r="R69" s="108">
        <f t="shared" si="17"/>
        <v>0</v>
      </c>
      <c r="S69" s="108">
        <f t="shared" si="17"/>
        <v>0</v>
      </c>
    </row>
    <row r="70" spans="3:19" x14ac:dyDescent="0.35">
      <c r="C70" s="88" t="s">
        <v>147</v>
      </c>
      <c r="D70" s="84" t="s">
        <v>137</v>
      </c>
      <c r="E70" s="104">
        <v>59</v>
      </c>
      <c r="F70" s="105">
        <f t="shared" ca="1" si="13"/>
        <v>0</v>
      </c>
      <c r="G70" s="106" t="s">
        <v>202</v>
      </c>
      <c r="H70" s="106" t="s">
        <v>186</v>
      </c>
      <c r="I70" s="106" t="s">
        <v>203</v>
      </c>
      <c r="J70" s="108">
        <f t="shared" ref="J70:S70" ca="1" si="18">SUMIF($40:$40,J$54,28:28)</f>
        <v>0</v>
      </c>
      <c r="K70" s="108">
        <f t="shared" si="18"/>
        <v>0</v>
      </c>
      <c r="L70" s="108">
        <f t="shared" si="18"/>
        <v>0</v>
      </c>
      <c r="M70" s="108">
        <f t="shared" si="18"/>
        <v>0</v>
      </c>
      <c r="N70" s="108">
        <f t="shared" si="18"/>
        <v>0</v>
      </c>
      <c r="O70" s="108">
        <f t="shared" si="18"/>
        <v>0</v>
      </c>
      <c r="P70" s="108">
        <f t="shared" si="18"/>
        <v>0</v>
      </c>
      <c r="Q70" s="108">
        <f t="shared" si="18"/>
        <v>0</v>
      </c>
      <c r="R70" s="108">
        <f t="shared" si="18"/>
        <v>0</v>
      </c>
      <c r="S70" s="108">
        <f t="shared" si="18"/>
        <v>0</v>
      </c>
    </row>
    <row r="71" spans="3:19" x14ac:dyDescent="0.35">
      <c r="C71" s="88" t="s">
        <v>148</v>
      </c>
      <c r="D71" s="84" t="s">
        <v>138</v>
      </c>
      <c r="E71" s="104">
        <v>67</v>
      </c>
      <c r="F71" s="105">
        <f t="shared" ca="1" si="13"/>
        <v>0</v>
      </c>
      <c r="G71" s="106" t="s">
        <v>204</v>
      </c>
      <c r="H71" s="106" t="s">
        <v>186</v>
      </c>
      <c r="I71" s="106" t="s">
        <v>205</v>
      </c>
      <c r="J71" s="108">
        <f t="shared" ref="J71:S71" ca="1" si="19">SUMIF($40:$40,J$54,29:29)</f>
        <v>0</v>
      </c>
      <c r="K71" s="108">
        <f t="shared" si="19"/>
        <v>0</v>
      </c>
      <c r="L71" s="108">
        <f t="shared" si="19"/>
        <v>0</v>
      </c>
      <c r="M71" s="108">
        <f t="shared" si="19"/>
        <v>0</v>
      </c>
      <c r="N71" s="108">
        <f t="shared" si="19"/>
        <v>0</v>
      </c>
      <c r="O71" s="108">
        <f t="shared" si="19"/>
        <v>0</v>
      </c>
      <c r="P71" s="108">
        <f t="shared" si="19"/>
        <v>0</v>
      </c>
      <c r="Q71" s="108">
        <f t="shared" si="19"/>
        <v>0</v>
      </c>
      <c r="R71" s="108">
        <f t="shared" si="19"/>
        <v>0</v>
      </c>
      <c r="S71" s="108">
        <f t="shared" si="19"/>
        <v>0</v>
      </c>
    </row>
    <row r="72" spans="3:19" x14ac:dyDescent="0.35">
      <c r="C72" s="88" t="s">
        <v>149</v>
      </c>
      <c r="D72" s="84" t="s">
        <v>139</v>
      </c>
      <c r="E72" s="104">
        <v>109</v>
      </c>
      <c r="F72" s="105">
        <f t="shared" ca="1" si="13"/>
        <v>0</v>
      </c>
      <c r="G72" s="106" t="s">
        <v>206</v>
      </c>
      <c r="H72" s="106" t="s">
        <v>186</v>
      </c>
      <c r="I72" s="106" t="s">
        <v>207</v>
      </c>
      <c r="J72" s="108">
        <f t="shared" ref="J72:S72" ca="1" si="20">SUMIF($40:$40,J$54,30:30)</f>
        <v>0</v>
      </c>
      <c r="K72" s="108">
        <f t="shared" si="20"/>
        <v>0</v>
      </c>
      <c r="L72" s="108">
        <f t="shared" si="20"/>
        <v>0</v>
      </c>
      <c r="M72" s="108">
        <f t="shared" si="20"/>
        <v>0</v>
      </c>
      <c r="N72" s="108">
        <f t="shared" si="20"/>
        <v>0</v>
      </c>
      <c r="O72" s="108">
        <f t="shared" si="20"/>
        <v>0</v>
      </c>
      <c r="P72" s="108">
        <f t="shared" si="20"/>
        <v>0</v>
      </c>
      <c r="Q72" s="108">
        <f t="shared" si="20"/>
        <v>0</v>
      </c>
      <c r="R72" s="108">
        <f t="shared" si="20"/>
        <v>0</v>
      </c>
      <c r="S72" s="108">
        <f t="shared" si="20"/>
        <v>0</v>
      </c>
    </row>
    <row r="73" spans="3:19" x14ac:dyDescent="0.35">
      <c r="C73" s="88" t="s">
        <v>150</v>
      </c>
      <c r="D73" s="84" t="s">
        <v>133</v>
      </c>
      <c r="E73" s="104">
        <v>0</v>
      </c>
      <c r="F73" s="105" t="e">
        <f t="shared" ca="1" si="13"/>
        <v>#REF!</v>
      </c>
      <c r="G73" s="106" t="s">
        <v>208</v>
      </c>
      <c r="H73" s="106" t="s">
        <v>186</v>
      </c>
      <c r="I73" s="106" t="s">
        <v>209</v>
      </c>
      <c r="J73" s="108" t="e">
        <f t="shared" ref="J73:S73" ca="1" si="21">SUMIF($40:$40,J$54,31:31)</f>
        <v>#REF!</v>
      </c>
      <c r="K73" s="108">
        <f t="shared" si="21"/>
        <v>0</v>
      </c>
      <c r="L73" s="108">
        <f t="shared" si="21"/>
        <v>0</v>
      </c>
      <c r="M73" s="108">
        <f t="shared" si="21"/>
        <v>0</v>
      </c>
      <c r="N73" s="108">
        <f t="shared" si="21"/>
        <v>0</v>
      </c>
      <c r="O73" s="108">
        <f t="shared" si="21"/>
        <v>0</v>
      </c>
      <c r="P73" s="108">
        <f t="shared" si="21"/>
        <v>0</v>
      </c>
      <c r="Q73" s="108">
        <f t="shared" si="21"/>
        <v>0</v>
      </c>
      <c r="R73" s="108">
        <f t="shared" si="21"/>
        <v>0</v>
      </c>
      <c r="S73" s="108">
        <f t="shared" si="21"/>
        <v>0</v>
      </c>
    </row>
    <row r="74" spans="3:19" x14ac:dyDescent="0.35">
      <c r="C74" s="88" t="s">
        <v>151</v>
      </c>
      <c r="D74" s="84" t="s">
        <v>141</v>
      </c>
      <c r="E74" s="104">
        <v>2</v>
      </c>
      <c r="F74" s="105" t="e">
        <f t="shared" ca="1" si="13"/>
        <v>#REF!</v>
      </c>
      <c r="G74" s="106" t="s">
        <v>210</v>
      </c>
      <c r="H74" s="106" t="s">
        <v>186</v>
      </c>
      <c r="I74" s="106" t="s">
        <v>211</v>
      </c>
      <c r="J74" s="108" t="e">
        <f t="shared" ref="J74:S74" ca="1" si="22">SUMIF($40:$40,J$54,32:32)</f>
        <v>#REF!</v>
      </c>
      <c r="K74" s="108">
        <f t="shared" si="22"/>
        <v>0</v>
      </c>
      <c r="L74" s="108">
        <f t="shared" si="22"/>
        <v>0</v>
      </c>
      <c r="M74" s="108">
        <f t="shared" si="22"/>
        <v>0</v>
      </c>
      <c r="N74" s="108">
        <f t="shared" si="22"/>
        <v>0</v>
      </c>
      <c r="O74" s="108">
        <f t="shared" si="22"/>
        <v>0</v>
      </c>
      <c r="P74" s="108">
        <f t="shared" si="22"/>
        <v>0</v>
      </c>
      <c r="Q74" s="108">
        <f t="shared" si="22"/>
        <v>0</v>
      </c>
      <c r="R74" s="108">
        <f t="shared" si="22"/>
        <v>0</v>
      </c>
      <c r="S74" s="108">
        <f t="shared" si="22"/>
        <v>0</v>
      </c>
    </row>
    <row r="75" spans="3:19" x14ac:dyDescent="0.35">
      <c r="C75" s="88" t="s">
        <v>152</v>
      </c>
      <c r="D75" s="84" t="s">
        <v>129</v>
      </c>
      <c r="E75" s="104">
        <v>2</v>
      </c>
      <c r="F75" s="105">
        <f t="shared" ca="1" si="13"/>
        <v>0</v>
      </c>
      <c r="G75" s="106" t="s">
        <v>212</v>
      </c>
      <c r="H75" s="106" t="s">
        <v>186</v>
      </c>
      <c r="I75" s="106" t="s">
        <v>213</v>
      </c>
      <c r="J75" s="108">
        <f t="shared" ref="J75:S75" ca="1" si="23">SUMIF($40:$40,J$54,33:33)</f>
        <v>0</v>
      </c>
      <c r="K75" s="108">
        <f t="shared" si="23"/>
        <v>0</v>
      </c>
      <c r="L75" s="108">
        <f t="shared" si="23"/>
        <v>0</v>
      </c>
      <c r="M75" s="108">
        <f t="shared" si="23"/>
        <v>0</v>
      </c>
      <c r="N75" s="108">
        <f t="shared" si="23"/>
        <v>0</v>
      </c>
      <c r="O75" s="108">
        <f t="shared" si="23"/>
        <v>0</v>
      </c>
      <c r="P75" s="108">
        <f t="shared" si="23"/>
        <v>0</v>
      </c>
      <c r="Q75" s="108">
        <f t="shared" si="23"/>
        <v>0</v>
      </c>
      <c r="R75" s="108">
        <f t="shared" si="23"/>
        <v>0</v>
      </c>
      <c r="S75" s="108">
        <f t="shared" si="23"/>
        <v>0</v>
      </c>
    </row>
    <row r="76" spans="3:19" x14ac:dyDescent="0.35">
      <c r="C76" s="88" t="s">
        <v>153</v>
      </c>
      <c r="D76" s="84" t="s">
        <v>128</v>
      </c>
      <c r="E76" s="104">
        <v>4</v>
      </c>
      <c r="F76" s="105">
        <f t="shared" ca="1" si="13"/>
        <v>0</v>
      </c>
      <c r="G76" s="106" t="s">
        <v>212</v>
      </c>
      <c r="H76" s="106" t="s">
        <v>186</v>
      </c>
      <c r="I76" s="106" t="s">
        <v>214</v>
      </c>
      <c r="J76" s="108">
        <f t="shared" ref="J76:S76" ca="1" si="24">SUMIF($40:$40,J$54,34:34)</f>
        <v>0</v>
      </c>
      <c r="K76" s="108">
        <f t="shared" si="24"/>
        <v>0</v>
      </c>
      <c r="L76" s="108">
        <f t="shared" si="24"/>
        <v>0</v>
      </c>
      <c r="M76" s="108">
        <f t="shared" si="24"/>
        <v>0</v>
      </c>
      <c r="N76" s="108">
        <f t="shared" si="24"/>
        <v>0</v>
      </c>
      <c r="O76" s="108">
        <f t="shared" si="24"/>
        <v>0</v>
      </c>
      <c r="P76" s="108">
        <f t="shared" si="24"/>
        <v>0</v>
      </c>
      <c r="Q76" s="108">
        <f t="shared" si="24"/>
        <v>0</v>
      </c>
      <c r="R76" s="108">
        <f t="shared" si="24"/>
        <v>0</v>
      </c>
      <c r="S76" s="108">
        <f t="shared" si="24"/>
        <v>0</v>
      </c>
    </row>
    <row r="77" spans="3:19" x14ac:dyDescent="0.35">
      <c r="C77" s="88" t="s">
        <v>154</v>
      </c>
      <c r="D77" s="84" t="s">
        <v>170</v>
      </c>
      <c r="E77" s="104">
        <v>16</v>
      </c>
      <c r="F77" s="105" t="e">
        <f t="shared" ca="1" si="13"/>
        <v>#REF!</v>
      </c>
      <c r="G77" s="106" t="s">
        <v>215</v>
      </c>
      <c r="H77" s="106" t="s">
        <v>216</v>
      </c>
      <c r="I77" s="106" t="s">
        <v>217</v>
      </c>
      <c r="J77" s="108" t="e">
        <f t="shared" ref="J77:S77" ca="1" si="25">SUMIF($40:$40,J$54,35:35)</f>
        <v>#REF!</v>
      </c>
      <c r="K77" s="108">
        <f t="shared" si="25"/>
        <v>0</v>
      </c>
      <c r="L77" s="108">
        <f t="shared" si="25"/>
        <v>0</v>
      </c>
      <c r="M77" s="108">
        <f t="shared" si="25"/>
        <v>0</v>
      </c>
      <c r="N77" s="108">
        <f t="shared" si="25"/>
        <v>0</v>
      </c>
      <c r="O77" s="108">
        <f t="shared" si="25"/>
        <v>0</v>
      </c>
      <c r="P77" s="108">
        <f t="shared" si="25"/>
        <v>0</v>
      </c>
      <c r="Q77" s="108">
        <f t="shared" si="25"/>
        <v>0</v>
      </c>
      <c r="R77" s="108">
        <f t="shared" si="25"/>
        <v>0</v>
      </c>
      <c r="S77" s="108">
        <f t="shared" si="25"/>
        <v>0</v>
      </c>
    </row>
    <row r="78" spans="3:19" x14ac:dyDescent="0.35">
      <c r="C78" s="88" t="s">
        <v>155</v>
      </c>
      <c r="D78" s="84" t="s">
        <v>171</v>
      </c>
      <c r="E78" s="104">
        <v>10</v>
      </c>
      <c r="F78" s="105" t="e">
        <f t="shared" ca="1" si="13"/>
        <v>#REF!</v>
      </c>
      <c r="G78" s="106" t="s">
        <v>215</v>
      </c>
      <c r="H78" s="106" t="s">
        <v>218</v>
      </c>
      <c r="I78" s="106" t="s">
        <v>219</v>
      </c>
      <c r="J78" s="108" t="e">
        <f t="shared" ref="J78:S78" ca="1" si="26">SUMIF($40:$40,J$54,36:36)</f>
        <v>#REF!</v>
      </c>
      <c r="K78" s="108">
        <f t="shared" si="26"/>
        <v>0</v>
      </c>
      <c r="L78" s="108">
        <f t="shared" si="26"/>
        <v>0</v>
      </c>
      <c r="M78" s="108">
        <f t="shared" si="26"/>
        <v>0</v>
      </c>
      <c r="N78" s="108">
        <f t="shared" si="26"/>
        <v>0</v>
      </c>
      <c r="O78" s="108">
        <f t="shared" si="26"/>
        <v>0</v>
      </c>
      <c r="P78" s="108">
        <f t="shared" si="26"/>
        <v>0</v>
      </c>
      <c r="Q78" s="108">
        <f t="shared" si="26"/>
        <v>0</v>
      </c>
      <c r="R78" s="108">
        <f t="shared" si="26"/>
        <v>0</v>
      </c>
      <c r="S78" s="108">
        <f t="shared" si="26"/>
        <v>0</v>
      </c>
    </row>
    <row r="79" spans="3:19" x14ac:dyDescent="0.35">
      <c r="C79" s="88" t="s">
        <v>156</v>
      </c>
      <c r="D79" s="84" t="s">
        <v>168</v>
      </c>
      <c r="E79" s="104">
        <v>56</v>
      </c>
      <c r="F79" s="105" t="e">
        <f t="shared" ca="1" si="13"/>
        <v>#REF!</v>
      </c>
      <c r="G79" s="106" t="s">
        <v>220</v>
      </c>
      <c r="H79" s="106" t="s">
        <v>186</v>
      </c>
      <c r="I79" s="106" t="s">
        <v>221</v>
      </c>
      <c r="J79" s="108" t="e">
        <f t="shared" ref="J79:S79" ca="1" si="27">SUMIF($40:$40,J$54,37:37)</f>
        <v>#REF!</v>
      </c>
      <c r="K79" s="108">
        <f t="shared" si="27"/>
        <v>0</v>
      </c>
      <c r="L79" s="108">
        <f t="shared" si="27"/>
        <v>0</v>
      </c>
      <c r="M79" s="108">
        <f t="shared" si="27"/>
        <v>0</v>
      </c>
      <c r="N79" s="108">
        <f t="shared" si="27"/>
        <v>0</v>
      </c>
      <c r="O79" s="108">
        <f t="shared" si="27"/>
        <v>0</v>
      </c>
      <c r="P79" s="108">
        <f t="shared" si="27"/>
        <v>0</v>
      </c>
      <c r="Q79" s="108">
        <f t="shared" si="27"/>
        <v>0</v>
      </c>
      <c r="R79" s="108">
        <f t="shared" si="27"/>
        <v>0</v>
      </c>
      <c r="S79" s="108">
        <f t="shared" si="27"/>
        <v>0</v>
      </c>
    </row>
    <row r="80" spans="3:19" x14ac:dyDescent="0.35">
      <c r="C80" s="88" t="s">
        <v>157</v>
      </c>
      <c r="D80" s="84" t="s">
        <v>167</v>
      </c>
      <c r="E80" s="104">
        <v>23</v>
      </c>
      <c r="F80" s="105" t="e">
        <f t="shared" ca="1" si="13"/>
        <v>#REF!</v>
      </c>
      <c r="G80" s="106" t="s">
        <v>222</v>
      </c>
      <c r="H80" s="106" t="s">
        <v>186</v>
      </c>
      <c r="I80" s="106" t="s">
        <v>223</v>
      </c>
      <c r="J80" s="108" t="e">
        <f t="shared" ref="J80:S80" ca="1" si="28">SUMIF($40:$40,J$54,38:38)</f>
        <v>#REF!</v>
      </c>
      <c r="K80" s="108">
        <f t="shared" si="28"/>
        <v>0</v>
      </c>
      <c r="L80" s="108">
        <f t="shared" si="28"/>
        <v>0</v>
      </c>
      <c r="M80" s="108">
        <f t="shared" si="28"/>
        <v>0</v>
      </c>
      <c r="N80" s="108">
        <f t="shared" si="28"/>
        <v>0</v>
      </c>
      <c r="O80" s="108">
        <f t="shared" si="28"/>
        <v>0</v>
      </c>
      <c r="P80" s="108">
        <f t="shared" si="28"/>
        <v>0</v>
      </c>
      <c r="Q80" s="108">
        <f t="shared" si="28"/>
        <v>0</v>
      </c>
      <c r="R80" s="108">
        <f t="shared" si="28"/>
        <v>0</v>
      </c>
      <c r="S80" s="108">
        <f t="shared" si="28"/>
        <v>0</v>
      </c>
    </row>
    <row r="81" spans="3:19" x14ac:dyDescent="0.35">
      <c r="C81" s="88" t="s">
        <v>158</v>
      </c>
      <c r="D81" s="84" t="s">
        <v>140</v>
      </c>
      <c r="E81" s="104">
        <v>12</v>
      </c>
      <c r="F81" s="105">
        <f t="shared" ca="1" si="13"/>
        <v>0</v>
      </c>
      <c r="G81" s="106" t="s">
        <v>224</v>
      </c>
      <c r="H81" s="106" t="s">
        <v>225</v>
      </c>
      <c r="I81" s="106" t="s">
        <v>226</v>
      </c>
      <c r="J81" s="108">
        <f t="shared" ref="J81:S81" ca="1" si="29">SUMIF($40:$40,J$54,39:39)</f>
        <v>0</v>
      </c>
      <c r="K81" s="108">
        <f t="shared" si="29"/>
        <v>0</v>
      </c>
      <c r="L81" s="108">
        <f t="shared" si="29"/>
        <v>0</v>
      </c>
      <c r="M81" s="108">
        <f t="shared" si="29"/>
        <v>0</v>
      </c>
      <c r="N81" s="108">
        <f t="shared" si="29"/>
        <v>0</v>
      </c>
      <c r="O81" s="108">
        <f t="shared" si="29"/>
        <v>0</v>
      </c>
      <c r="P81" s="108">
        <f t="shared" si="29"/>
        <v>0</v>
      </c>
      <c r="Q81" s="108">
        <f t="shared" si="29"/>
        <v>0</v>
      </c>
      <c r="R81" s="108">
        <f t="shared" si="29"/>
        <v>0</v>
      </c>
      <c r="S81" s="108">
        <f t="shared" si="29"/>
        <v>0</v>
      </c>
    </row>
    <row r="82" spans="3:19" x14ac:dyDescent="0.35">
      <c r="C82" s="88" t="s">
        <v>227</v>
      </c>
      <c r="D82" s="84" t="s">
        <v>228</v>
      </c>
      <c r="E82" s="109"/>
      <c r="F82" s="105">
        <f t="shared" ca="1" si="13"/>
        <v>0</v>
      </c>
      <c r="G82" s="106" t="s">
        <v>191</v>
      </c>
      <c r="H82" s="106" t="s">
        <v>192</v>
      </c>
      <c r="I82" s="106" t="s">
        <v>229</v>
      </c>
      <c r="J82" s="108">
        <f ca="1">SUMIF($40:$40,J$54,41:41)</f>
        <v>0</v>
      </c>
      <c r="K82" s="108">
        <f t="shared" ref="K82:S82" si="30">SUMIF($40:$40,K$54,41:41)</f>
        <v>0</v>
      </c>
      <c r="L82" s="108">
        <f t="shared" si="30"/>
        <v>0</v>
      </c>
      <c r="M82" s="108">
        <f t="shared" si="30"/>
        <v>0</v>
      </c>
      <c r="N82" s="108">
        <f t="shared" si="30"/>
        <v>0</v>
      </c>
      <c r="O82" s="108">
        <f t="shared" si="30"/>
        <v>0</v>
      </c>
      <c r="P82" s="108">
        <f t="shared" si="30"/>
        <v>0</v>
      </c>
      <c r="Q82" s="108">
        <f t="shared" si="30"/>
        <v>0</v>
      </c>
      <c r="R82" s="108">
        <f t="shared" si="30"/>
        <v>0</v>
      </c>
      <c r="S82" s="108">
        <f t="shared" si="30"/>
        <v>0</v>
      </c>
    </row>
    <row r="84" spans="3:19" ht="15.5" x14ac:dyDescent="0.35">
      <c r="C84" s="148" t="s">
        <v>136</v>
      </c>
      <c r="D84" s="148"/>
      <c r="F84" s="110" t="e">
        <f ca="1">SUM(F65:F82)</f>
        <v>#REF!</v>
      </c>
      <c r="G84" s="77">
        <f t="shared" ref="G84:I84" si="31">SUM(G65:G81)</f>
        <v>0</v>
      </c>
      <c r="H84" s="77">
        <f t="shared" si="31"/>
        <v>0</v>
      </c>
      <c r="I84" s="77">
        <f t="shared" si="31"/>
        <v>0</v>
      </c>
      <c r="J84" s="108" t="e">
        <f ca="1">SUM(J65:J82)</f>
        <v>#REF!</v>
      </c>
      <c r="K84" s="108">
        <f t="shared" ref="K84:S84" si="32">SUM(K65:K82)</f>
        <v>0</v>
      </c>
      <c r="L84" s="108">
        <f t="shared" si="32"/>
        <v>0</v>
      </c>
      <c r="M84" s="108">
        <f t="shared" si="32"/>
        <v>0</v>
      </c>
      <c r="N84" s="108">
        <f t="shared" si="32"/>
        <v>0</v>
      </c>
      <c r="O84" s="108">
        <f t="shared" si="32"/>
        <v>0</v>
      </c>
      <c r="P84" s="108">
        <f t="shared" si="32"/>
        <v>0</v>
      </c>
      <c r="Q84" s="108">
        <f t="shared" si="32"/>
        <v>0</v>
      </c>
      <c r="R84" s="108">
        <f t="shared" si="32"/>
        <v>0</v>
      </c>
      <c r="S84" s="108">
        <f t="shared" si="32"/>
        <v>0</v>
      </c>
    </row>
    <row r="85" spans="3:19" x14ac:dyDescent="0.35">
      <c r="J85"/>
    </row>
    <row r="86" spans="3:19" x14ac:dyDescent="0.35">
      <c r="J86"/>
    </row>
    <row r="87" spans="3:19" x14ac:dyDescent="0.35">
      <c r="J87"/>
    </row>
    <row r="88" spans="3:19" x14ac:dyDescent="0.35">
      <c r="J88"/>
    </row>
    <row r="89" spans="3:19" x14ac:dyDescent="0.35">
      <c r="J89"/>
    </row>
    <row r="90" spans="3:19" x14ac:dyDescent="0.35">
      <c r="J90"/>
    </row>
    <row r="91" spans="3:19" x14ac:dyDescent="0.35">
      <c r="J91"/>
    </row>
    <row r="92" spans="3:19" x14ac:dyDescent="0.35">
      <c r="J92"/>
    </row>
    <row r="93" spans="3:19" x14ac:dyDescent="0.35">
      <c r="J93"/>
    </row>
    <row r="94" spans="3:19" x14ac:dyDescent="0.35">
      <c r="J94"/>
    </row>
    <row r="95" spans="3:19" x14ac:dyDescent="0.35">
      <c r="J95"/>
    </row>
    <row r="96" spans="3:19" x14ac:dyDescent="0.35">
      <c r="J96"/>
    </row>
    <row r="97" spans="10:10" x14ac:dyDescent="0.35">
      <c r="J97"/>
    </row>
    <row r="98" spans="10:10" x14ac:dyDescent="0.35">
      <c r="J98"/>
    </row>
    <row r="99" spans="10:10" x14ac:dyDescent="0.35">
      <c r="J99"/>
    </row>
    <row r="100" spans="10:10" x14ac:dyDescent="0.35">
      <c r="J100"/>
    </row>
    <row r="101" spans="10:10" x14ac:dyDescent="0.35">
      <c r="J101"/>
    </row>
    <row r="102" spans="10:10" x14ac:dyDescent="0.35">
      <c r="J102"/>
    </row>
    <row r="103" spans="10:10" x14ac:dyDescent="0.35">
      <c r="J103"/>
    </row>
    <row r="104" spans="10:10" x14ac:dyDescent="0.35">
      <c r="J104"/>
    </row>
    <row r="105" spans="10:10" x14ac:dyDescent="0.35">
      <c r="J105"/>
    </row>
    <row r="106" spans="10:10" x14ac:dyDescent="0.35">
      <c r="J106"/>
    </row>
    <row r="107" spans="10:10" x14ac:dyDescent="0.35">
      <c r="J107"/>
    </row>
    <row r="108" spans="10:10" x14ac:dyDescent="0.35">
      <c r="J108"/>
    </row>
    <row r="109" spans="10:10" x14ac:dyDescent="0.35">
      <c r="J109"/>
    </row>
    <row r="110" spans="10:10" x14ac:dyDescent="0.35">
      <c r="J110"/>
    </row>
    <row r="111" spans="10:10" x14ac:dyDescent="0.35">
      <c r="J111"/>
    </row>
    <row r="112" spans="10:10" x14ac:dyDescent="0.35">
      <c r="J112"/>
    </row>
    <row r="113" spans="10:10" x14ac:dyDescent="0.35">
      <c r="J113"/>
    </row>
    <row r="114" spans="10:10" x14ac:dyDescent="0.35">
      <c r="J114"/>
    </row>
    <row r="115" spans="10:10" x14ac:dyDescent="0.35">
      <c r="J115"/>
    </row>
    <row r="116" spans="10:10" x14ac:dyDescent="0.35">
      <c r="J116"/>
    </row>
    <row r="117" spans="10:10" x14ac:dyDescent="0.35">
      <c r="J117"/>
    </row>
    <row r="118" spans="10:10" x14ac:dyDescent="0.35">
      <c r="J118"/>
    </row>
    <row r="119" spans="10:10" x14ac:dyDescent="0.35">
      <c r="J119"/>
    </row>
    <row r="120" spans="10:10" x14ac:dyDescent="0.35">
      <c r="J120"/>
    </row>
    <row r="121" spans="10:10" x14ac:dyDescent="0.35">
      <c r="J121"/>
    </row>
    <row r="122" spans="10:10" x14ac:dyDescent="0.35">
      <c r="J122"/>
    </row>
    <row r="123" spans="10:10" x14ac:dyDescent="0.35">
      <c r="J123"/>
    </row>
    <row r="124" spans="10:10" x14ac:dyDescent="0.35">
      <c r="J124"/>
    </row>
    <row r="125" spans="10:10" x14ac:dyDescent="0.35">
      <c r="J125"/>
    </row>
    <row r="126" spans="10:10" x14ac:dyDescent="0.35">
      <c r="J126"/>
    </row>
    <row r="127" spans="10:10" x14ac:dyDescent="0.35">
      <c r="J127"/>
    </row>
    <row r="128" spans="10:10" x14ac:dyDescent="0.35">
      <c r="J128"/>
    </row>
    <row r="129" spans="10:10" x14ac:dyDescent="0.35">
      <c r="J129"/>
    </row>
    <row r="130" spans="10:10" x14ac:dyDescent="0.35">
      <c r="J130"/>
    </row>
    <row r="131" spans="10:10" x14ac:dyDescent="0.35">
      <c r="J131"/>
    </row>
    <row r="132" spans="10:10" x14ac:dyDescent="0.35">
      <c r="J132"/>
    </row>
    <row r="133" spans="10:10" x14ac:dyDescent="0.35">
      <c r="J133"/>
    </row>
    <row r="134" spans="10:10" x14ac:dyDescent="0.35">
      <c r="J134"/>
    </row>
    <row r="135" spans="10:10" x14ac:dyDescent="0.35">
      <c r="J135"/>
    </row>
    <row r="136" spans="10:10" x14ac:dyDescent="0.35">
      <c r="J136"/>
    </row>
    <row r="137" spans="10:10" x14ac:dyDescent="0.35">
      <c r="J137"/>
    </row>
    <row r="138" spans="10:10" x14ac:dyDescent="0.35">
      <c r="J138"/>
    </row>
    <row r="139" spans="10:10" x14ac:dyDescent="0.35">
      <c r="J139"/>
    </row>
    <row r="140" spans="10:10" x14ac:dyDescent="0.35">
      <c r="J140"/>
    </row>
    <row r="141" spans="10:10" x14ac:dyDescent="0.35">
      <c r="J141"/>
    </row>
    <row r="142" spans="10:10" x14ac:dyDescent="0.35">
      <c r="J142"/>
    </row>
    <row r="143" spans="10:10" x14ac:dyDescent="0.35">
      <c r="J143"/>
    </row>
    <row r="144" spans="10:10" x14ac:dyDescent="0.35">
      <c r="J144"/>
    </row>
    <row r="145" spans="10:10" x14ac:dyDescent="0.35">
      <c r="J145"/>
    </row>
  </sheetData>
  <sheetProtection formatCells="0" formatColumns="0" formatRows="0" sort="0" autoFilter="0" pivotTables="0"/>
  <autoFilter ref="C10:M36" xr:uid="{00000000-0001-0000-0400-000000000000}"/>
  <mergeCells count="4">
    <mergeCell ref="K1:O1"/>
    <mergeCell ref="K2:O2"/>
    <mergeCell ref="C43:E43"/>
    <mergeCell ref="C84:D84"/>
  </mergeCells>
  <conditionalFormatting sqref="F11:F12">
    <cfRule type="cellIs" dxfId="45" priority="160" operator="greaterThanOrEqual">
      <formula>1</formula>
    </cfRule>
    <cfRule type="cellIs" dxfId="44" priority="161" operator="equal">
      <formula>0</formula>
    </cfRule>
  </conditionalFormatting>
  <conditionalFormatting sqref="F16">
    <cfRule type="cellIs" dxfId="43" priority="158" operator="greaterThanOrEqual">
      <formula>1</formula>
    </cfRule>
    <cfRule type="cellIs" dxfId="42" priority="159" operator="equal">
      <formula>0</formula>
    </cfRule>
  </conditionalFormatting>
  <conditionalFormatting sqref="F19:F20">
    <cfRule type="cellIs" dxfId="41" priority="154" operator="greaterThanOrEqual">
      <formula>1</formula>
    </cfRule>
    <cfRule type="cellIs" dxfId="40" priority="155" operator="equal">
      <formula>0</formula>
    </cfRule>
  </conditionalFormatting>
  <conditionalFormatting sqref="F23:F41">
    <cfRule type="cellIs" dxfId="39" priority="165" operator="greaterThanOrEqual">
      <formula>1</formula>
    </cfRule>
    <cfRule type="cellIs" dxfId="38" priority="166" operator="equal">
      <formula>0</formula>
    </cfRule>
  </conditionalFormatting>
  <conditionalFormatting sqref="F43">
    <cfRule type="cellIs" dxfId="37" priority="162" operator="greaterThanOrEqual">
      <formula>1</formula>
    </cfRule>
    <cfRule type="cellIs" dxfId="36" priority="163" operator="equal">
      <formula>0</formula>
    </cfRule>
  </conditionalFormatting>
  <conditionalFormatting sqref="F55:F59">
    <cfRule type="cellIs" dxfId="35" priority="63" operator="greaterThanOrEqual">
      <formula>1</formula>
    </cfRule>
    <cfRule type="cellIs" dxfId="34" priority="64" operator="equal">
      <formula>0</formula>
    </cfRule>
  </conditionalFormatting>
  <conditionalFormatting sqref="F65:F82">
    <cfRule type="cellIs" dxfId="33" priority="76" operator="greaterThanOrEqual">
      <formula>1</formula>
    </cfRule>
    <cfRule type="cellIs" dxfId="32" priority="77" operator="equal">
      <formula>0</formula>
    </cfRule>
  </conditionalFormatting>
  <conditionalFormatting sqref="F84">
    <cfRule type="cellIs" dxfId="31" priority="74" operator="greaterThanOrEqual">
      <formula>1</formula>
    </cfRule>
    <cfRule type="cellIs" dxfId="30" priority="75" operator="equal">
      <formula>0</formula>
    </cfRule>
  </conditionalFormatting>
  <conditionalFormatting sqref="J16 J19 J41">
    <cfRule type="cellIs" dxfId="29" priority="5" operator="greaterThan">
      <formula>0</formula>
    </cfRule>
    <cfRule type="cellIs" dxfId="28" priority="6" operator="equal">
      <formula>0</formula>
    </cfRule>
  </conditionalFormatting>
  <conditionalFormatting sqref="J23:J39">
    <cfRule type="cellIs" dxfId="27" priority="1" operator="greaterThan">
      <formula>0</formula>
    </cfRule>
    <cfRule type="cellIs" dxfId="26" priority="2" operator="equal">
      <formula>0</formula>
    </cfRule>
  </conditionalFormatting>
  <conditionalFormatting sqref="J65:S82">
    <cfRule type="cellIs" dxfId="25" priority="7" operator="notEqual">
      <formula>0</formula>
    </cfRule>
  </conditionalFormatting>
  <conditionalFormatting sqref="J84:S84">
    <cfRule type="cellIs" dxfId="24" priority="73" operator="notEqual">
      <formula>0</formula>
    </cfRule>
  </conditionalFormatting>
  <conditionalFormatting sqref="J43:ZZ43">
    <cfRule type="notContainsBlanks" dxfId="23" priority="164">
      <formula>LEN(TRIM(J43))&gt;0</formula>
    </cfRule>
  </conditionalFormatting>
  <conditionalFormatting sqref="BB44:VX44">
    <cfRule type="notContainsBlanks" dxfId="22" priority="167">
      <formula>LEN(TRIM(BB44))&gt;0</formula>
    </cfRule>
  </conditionalFormatting>
  <hyperlinks>
    <hyperlink ref="C27" location="'Capex Transfer'!A1" display="V11006" xr:uid="{2716C6FB-647A-4686-943C-00CDD8D6CE60}"/>
    <hyperlink ref="C25" location="'RP Payable'!A1" display="V11007" xr:uid="{656419DB-565A-40D2-B6AB-36B1B7A25467}"/>
    <hyperlink ref="C26" location="'RP Receivable'!A1" display="V11008" xr:uid="{2856EF37-2175-4D3B-BF9B-03D5009FD411}"/>
    <hyperlink ref="C28" location="'Accum Dep'!A1" display="V110011" xr:uid="{36F67060-F9EE-4FB9-A287-551A3B007208}"/>
    <hyperlink ref="C29" location="'Provision Inventory'!A1" display="V110012" xr:uid="{E957D759-E155-438F-8463-7B3C712B8806}"/>
    <hyperlink ref="C30" location="'Provision Receivable'!A1" display="V110013" xr:uid="{36AD0A4F-821C-4472-8C18-D570C7562446}"/>
    <hyperlink ref="C31" location="'Investment in Subs'!A1" display="V110014" xr:uid="{64CEA075-6FF1-43DF-82AC-A6C44C3FD188}"/>
    <hyperlink ref="C32" location="'Prov Invst Movement'!A1" display="V110015" xr:uid="{73C7FF0C-93DB-4FBC-8884-52CFCAD78A68}"/>
    <hyperlink ref="C33" location="'Negative Revenue'!A1" display="V110016" xr:uid="{5ED73A30-4EC8-44EF-AA4E-C99B4A62C1B6}"/>
    <hyperlink ref="C35" location="'Capex Addition'!A1" display="V110019" xr:uid="{77E9F934-FB8A-48A3-8352-CBA8C5F5C1A1}"/>
    <hyperlink ref="C36" location="'Capex Disposal'!A1" display="V110021" xr:uid="{898D0BD0-87C9-495C-A34C-F28FA9FB4A9C}"/>
    <hyperlink ref="C37" location="'Customer Balance'!A1" display="V110023" xr:uid="{B2CFB478-D147-4FDB-9C6A-223BF1DCBA89}"/>
    <hyperlink ref="C38" location="'Vendor Balance'!A1" display="V110024" xr:uid="{D01439B6-243B-4905-BF6D-0B57B407C4B0}"/>
    <hyperlink ref="C39" location="Reserves!A1" display="V110026" xr:uid="{3D52C903-EE3A-4FAF-8AF7-BFEF442A4A1E}"/>
    <hyperlink ref="C23" location="'Missing Seller %'!A1" display="V11006" xr:uid="{920E9DB2-F939-48E5-8BBB-EB7AB7882893}"/>
    <hyperlink ref="C24" location="'Missing Buyer %'!A1" display="V11007" xr:uid="{9D6E1F25-2D2E-419F-B252-D75A3E91CD64}"/>
    <hyperlink ref="C34" location="'Dividend Inc'!A1" display="V110017" xr:uid="{8FDAD662-8DA0-470F-A66C-D3F928543F81}"/>
    <hyperlink ref="C41" location="'Fin. &amp; COE Cost'!A1" display="V110022" xr:uid="{22604881-7823-4808-81B1-0EE9A4977B1A}"/>
    <hyperlink ref="C82" location="'Fin. &amp; COE Cost'!A1" display="V110022" xr:uid="{9BA48840-ECDA-4042-9D1A-479BE4B38A2B}"/>
  </hyperlinks>
  <pageMargins left="0.7" right="0.7" top="0.75" bottom="0.75" header="0.3" footer="0.3"/>
  <pageSetup paperSize="9" orientation="portrait" r:id="rId1"/>
  <headerFooter>
    <oddFooter>&amp;C_x000D_&amp;1#&amp;"Calibri"&amp;10&amp;K000000 Restricted : General Al-Futtaim Group</oddFooter>
  </headerFooter>
  <customProperties>
    <customPr name="_pios_id" r:id="rId2"/>
    <customPr name="EpmWorksheetKeyString_GUID" r:id="rId3"/>
    <customPr name="FPMExcelClientCellBasedFunctionStatus" r:id="rId4"/>
    <customPr name="FPMExcelClientRefreshTime" r:id="rId5"/>
  </customProperties>
  <drawing r:id="rId6"/>
  <legacyDrawing r:id="rId7"/>
  <controls>
    <mc:AlternateContent xmlns:mc="http://schemas.openxmlformats.org/markup-compatibility/2006">
      <mc:Choice Requires="x14">
        <control shapeId="240647" r:id="rId8" name="CustomMemberDispatchertb1">
          <controlPr defaultSize="0" autoLine="0" autoPict="0" r:id="rId9">
            <anchor moveWithCells="1" sizeWithCells="1">
              <from>
                <xdr:col>0</xdr:col>
                <xdr:colOff>0</xdr:colOff>
                <xdr:row>0</xdr:row>
                <xdr:rowOff>0</xdr:rowOff>
              </from>
              <to>
                <xdr:col>2</xdr:col>
                <xdr:colOff>190500</xdr:colOff>
                <xdr:row>0</xdr:row>
                <xdr:rowOff>0</xdr:rowOff>
              </to>
            </anchor>
          </controlPr>
        </control>
      </mc:Choice>
      <mc:Fallback>
        <control shapeId="240647" r:id="rId8" name="CustomMemberDispatchertb1"/>
      </mc:Fallback>
    </mc:AlternateContent>
    <mc:AlternateContent xmlns:mc="http://schemas.openxmlformats.org/markup-compatibility/2006">
      <mc:Choice Requires="x14">
        <control shapeId="240646" r:id="rId10" name="AnalyzerDynReport000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40646" r:id="rId10" name="AnalyzerDynReport000tb1"/>
      </mc:Fallback>
    </mc:AlternateContent>
    <mc:AlternateContent xmlns:mc="http://schemas.openxmlformats.org/markup-compatibility/2006">
      <mc:Choice Requires="x14">
        <control shapeId="240645" r:id="rId12" name="ReportSubmitControl_1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40645" r:id="rId12" name="ReportSubmitControl_1tb1"/>
      </mc:Fallback>
    </mc:AlternateContent>
    <mc:AlternateContent xmlns:mc="http://schemas.openxmlformats.org/markup-compatibility/2006">
      <mc:Choice Requires="x14">
        <control shapeId="240644" r:id="rId13" name="ReportSubmitManagerControl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40644" r:id="rId13" name="ReportSubmitManagerControltb1"/>
      </mc:Fallback>
    </mc:AlternateContent>
    <mc:AlternateContent xmlns:mc="http://schemas.openxmlformats.org/markup-compatibility/2006">
      <mc:Choice Requires="x14">
        <control shapeId="240643" r:id="rId14" name="ConnectionDescriptorsInfo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40643" r:id="rId14" name="ConnectionDescriptorsInfotb1"/>
      </mc:Fallback>
    </mc:AlternateContent>
    <mc:AlternateContent xmlns:mc="http://schemas.openxmlformats.org/markup-compatibility/2006">
      <mc:Choice Requires="x14">
        <control shapeId="240642" r:id="rId15" name="MultipleReportManagerInfo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40642" r:id="rId15" name="MultipleReportManagerInfotb1"/>
      </mc:Fallback>
    </mc:AlternateContent>
    <mc:AlternateContent xmlns:mc="http://schemas.openxmlformats.org/markup-compatibility/2006">
      <mc:Choice Requires="x14">
        <control shapeId="240641" r:id="rId16" name="FPMExcelClientSheetOptionstb1">
          <controlPr defaultSize="0" autoLine="0" r:id="rId17">
            <anchor moveWithCells="1" sizeWithCells="1">
              <from>
                <xdr:col>0</xdr:col>
                <xdr:colOff>0</xdr:colOff>
                <xdr:row>0</xdr:row>
                <xdr:rowOff>0</xdr:rowOff>
              </from>
              <to>
                <xdr:col>0</xdr:col>
                <xdr:colOff>0</xdr:colOff>
                <xdr:row>0</xdr:row>
                <xdr:rowOff>12700</xdr:rowOff>
              </to>
            </anchor>
          </controlPr>
        </control>
      </mc:Choice>
      <mc:Fallback>
        <control shapeId="240641" r:id="rId16" name="FPMExcelClientSheetOptions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4F68-B0AE-48EB-A0DE-2F526A3CAE77}">
  <sheetPr codeName="Sheet31"/>
  <dimension ref="A1:ZZ142"/>
  <sheetViews>
    <sheetView showGridLines="0" zoomScale="80" zoomScaleNormal="80" workbookViewId="0">
      <pane xSplit="9" ySplit="10" topLeftCell="K11" activePane="bottomRight" state="frozen"/>
      <selection activeCell="I15" sqref="I15"/>
      <selection pane="topRight" activeCell="I15" sqref="I15"/>
      <selection pane="bottomLeft" activeCell="I15" sqref="I15"/>
      <selection pane="bottomRight" activeCell="L19" sqref="L19"/>
    </sheetView>
  </sheetViews>
  <sheetFormatPr defaultColWidth="9.1796875" defaultRowHeight="14.5" outlineLevelCol="1" x14ac:dyDescent="0.35"/>
  <cols>
    <col min="1" max="1" width="20.1796875" hidden="1" customWidth="1" outlineLevel="1"/>
    <col min="2" max="2" width="3" customWidth="1" collapsed="1"/>
    <col min="3" max="3" width="16.7265625" customWidth="1"/>
    <col min="4" max="4" width="85.81640625" bestFit="1" customWidth="1"/>
    <col min="5" max="5" width="19.1796875" bestFit="1" customWidth="1"/>
    <col min="6" max="6" width="14.54296875" customWidth="1"/>
    <col min="7" max="8" width="12.7265625" hidden="1" customWidth="1" outlineLevel="1"/>
    <col min="9" max="9" width="34.54296875" hidden="1" customWidth="1" outlineLevel="1"/>
    <col min="10" max="10" width="20.7265625" style="81" hidden="1" customWidth="1" collapsed="1"/>
    <col min="11" max="508" width="18.7265625" customWidth="1"/>
  </cols>
  <sheetData>
    <row r="1" spans="1:15" ht="18.5" x14ac:dyDescent="0.45">
      <c r="C1" s="83"/>
      <c r="J1" s="55" t="s">
        <v>107</v>
      </c>
      <c r="K1" s="146" t="s">
        <v>130</v>
      </c>
      <c r="L1" s="146"/>
      <c r="M1" s="146"/>
      <c r="N1" s="146"/>
      <c r="O1" s="146"/>
    </row>
    <row r="2" spans="1:15" x14ac:dyDescent="0.35">
      <c r="C2" s="71" t="s">
        <v>82</v>
      </c>
      <c r="D2" s="71" t="s">
        <v>83</v>
      </c>
      <c r="J2" s="55" t="s">
        <v>108</v>
      </c>
      <c r="K2" s="146" t="s">
        <v>131</v>
      </c>
      <c r="L2" s="146"/>
      <c r="M2" s="146"/>
      <c r="N2" s="146"/>
      <c r="O2" s="146"/>
    </row>
    <row r="3" spans="1:15" x14ac:dyDescent="0.35">
      <c r="A3" t="e">
        <f>IF(#REF!="All Entities","BASEMEMBERS",A5)</f>
        <v>#REF!</v>
      </c>
      <c r="C3" s="72" t="s">
        <v>53</v>
      </c>
      <c r="D3" s="73" t="s">
        <v>172</v>
      </c>
    </row>
    <row r="4" spans="1:15" x14ac:dyDescent="0.35">
      <c r="A4" t="s">
        <v>117</v>
      </c>
      <c r="C4" s="55" t="s">
        <v>41</v>
      </c>
      <c r="D4" s="54" t="str">
        <f>_xll.EPMContextMember($D$3,C4)</f>
        <v>FC100</v>
      </c>
    </row>
    <row r="5" spans="1:15" x14ac:dyDescent="0.35">
      <c r="A5" t="str">
        <f>IF(A7="N",D5,"BAS("&amp;D5&amp;")")</f>
        <v>1090</v>
      </c>
      <c r="C5" s="55" t="s">
        <v>118</v>
      </c>
      <c r="D5" s="54" t="str">
        <f>_xll.EPMContextMember($D$3,C5)</f>
        <v>1090</v>
      </c>
    </row>
    <row r="6" spans="1:15" x14ac:dyDescent="0.35">
      <c r="A6" t="str">
        <f>_xll.EPMDimensionOverride("000",C5,A5)</f>
        <v>Expansion of ENTITY Overriden</v>
      </c>
      <c r="B6" t="s">
        <v>119</v>
      </c>
      <c r="C6" s="55" t="s">
        <v>35</v>
      </c>
      <c r="D6" s="54" t="str">
        <f>_xll.EPMContextMember($D$3,C6)</f>
        <v>2020.JAN</v>
      </c>
    </row>
    <row r="7" spans="1:15" ht="24.75" customHeight="1" x14ac:dyDescent="0.35">
      <c r="A7" t="str">
        <f>_xll.EPMMemberProperty("BMAIN",D5,"CALC")</f>
        <v>N</v>
      </c>
      <c r="F7" s="49"/>
    </row>
    <row r="9" spans="1:15" ht="15.5" x14ac:dyDescent="0.35">
      <c r="C9" s="74" t="s">
        <v>84</v>
      </c>
    </row>
    <row r="10" spans="1:15" ht="27" customHeight="1" x14ac:dyDescent="0.35">
      <c r="C10" s="82" t="s">
        <v>120</v>
      </c>
      <c r="D10" s="82" t="s">
        <v>85</v>
      </c>
      <c r="E10" s="82" t="s">
        <v>86</v>
      </c>
      <c r="F10" s="82" t="s">
        <v>87</v>
      </c>
      <c r="G10" s="82" t="s">
        <v>121</v>
      </c>
      <c r="H10" s="82" t="s">
        <v>75</v>
      </c>
      <c r="I10" s="82" t="s">
        <v>68</v>
      </c>
      <c r="J10" s="86" t="str">
        <f xml:space="preserve"> _xll.EPMOlapMemberO("[ENTITY].[PARENTH1].[1090]","","1090","","000")</f>
        <v>1090</v>
      </c>
    </row>
    <row r="11" spans="1:15" x14ac:dyDescent="0.35">
      <c r="C11" s="60" t="s">
        <v>88</v>
      </c>
      <c r="D11" s="60" t="s">
        <v>89</v>
      </c>
      <c r="E11" s="75">
        <f>SUM(J11:XX11)</f>
        <v>0</v>
      </c>
      <c r="F11" s="92">
        <f>IF(OR(E11&gt;100,E11&lt;-100),1,0)</f>
        <v>0</v>
      </c>
      <c r="G11" s="80" t="str">
        <f xml:space="preserve"> _xll.EPMOlapMemberO("[ACCOUNT].[PARENTH1].[1001000001]","","1001000001","","000")</f>
        <v>1001000001</v>
      </c>
      <c r="H11" s="80" t="str">
        <f xml:space="preserve"> _xll.EPMOlapMemberO("[BFLOW].[PARENTH1].[B99]","","B99","","000")</f>
        <v>B99</v>
      </c>
      <c r="I11" s="80" t="str">
        <f xml:space="preserve"> _xll.EPMOlapMemberO("[TPARTNER].[PARENTH1].[IC_TOTAL_THIRD]","","IC_TOTAL_THIRD","","000")</f>
        <v>IC_TOTAL_THIRD</v>
      </c>
      <c r="J11" s="79"/>
    </row>
    <row r="12" spans="1:15" x14ac:dyDescent="0.35">
      <c r="C12" s="60" t="s">
        <v>90</v>
      </c>
      <c r="D12" s="60" t="s">
        <v>91</v>
      </c>
      <c r="E12" s="75">
        <f t="shared" ref="E12:E27" si="0">SUM(J12:XX12)</f>
        <v>0</v>
      </c>
      <c r="F12" s="92">
        <f>IF(OR(E12&gt;10,E12&lt;-10),1,0)</f>
        <v>0</v>
      </c>
      <c r="G12" s="80" t="str">
        <f xml:space="preserve"> _xll.EPMOlapMemberO("[ACCOUNT].[PARENTH1].[1001000001]","","1001000001","","000")</f>
        <v>1001000001</v>
      </c>
      <c r="H12" s="80" t="str">
        <f xml:space="preserve"> _xll.EPMOlapMemberO("[BFLOW].[PARENTH1].[B10]","","B10","","000")</f>
        <v>B10</v>
      </c>
      <c r="I12" s="80" t="str">
        <f xml:space="preserve"> _xll.EPMOlapMemberO("[TPARTNER].[PARENTH1].[IC_TOTAL_THIRD]","","IC_TOTAL_THIRD","","000")</f>
        <v>IC_TOTAL_THIRD</v>
      </c>
      <c r="J12" s="79"/>
    </row>
    <row r="13" spans="1:15" hidden="1" x14ac:dyDescent="0.35">
      <c r="C13" s="60"/>
      <c r="D13" s="60"/>
      <c r="E13" s="75">
        <f t="shared" si="0"/>
        <v>0</v>
      </c>
      <c r="F13" s="92"/>
      <c r="G13" s="80" t="str">
        <f xml:space="preserve"> _xll.EPMOlapMemberO("[ACCOUNT].[PARENTH1].[1092009000]","","1092009000","","000")</f>
        <v>1092009000</v>
      </c>
      <c r="H13" s="80" t="str">
        <f xml:space="preserve"> _xll.EPMOlapMemberO("[BFLOW].[PARENTH1].[B99]","","B99","","000")</f>
        <v>B99</v>
      </c>
      <c r="I13" s="80" t="str">
        <f xml:space="preserve"> _xll.EPMOlapMemberO("[TPARTNER].[PARENTH1].[IC_TOTAL_THIRD]","","IC_TOTAL_THIRD","","000")</f>
        <v>IC_TOTAL_THIRD</v>
      </c>
      <c r="J13" s="79"/>
    </row>
    <row r="14" spans="1:15" hidden="1" x14ac:dyDescent="0.35">
      <c r="C14" s="60"/>
      <c r="D14" s="60"/>
      <c r="E14" s="75">
        <f t="shared" si="0"/>
        <v>0</v>
      </c>
      <c r="F14" s="92"/>
      <c r="G14" s="80" t="str">
        <f xml:space="preserve"> _xll.EPMOlapMemberO("[ACCOUNT].[PARENTH1].[1092109000]","","1092109000","","000")</f>
        <v>1092109000</v>
      </c>
      <c r="H14" s="80" t="str">
        <f xml:space="preserve"> _xll.EPMOlapMemberO("[BFLOW].[PARENTH1].[B99]","","B99","","000")</f>
        <v>B99</v>
      </c>
      <c r="I14" s="80" t="str">
        <f xml:space="preserve"> _xll.EPMOlapMemberO("[TPARTNER].[PARENTH1].[IC_TOTAL_THIRD]","","IC_TOTAL_THIRD","","000")</f>
        <v>IC_TOTAL_THIRD</v>
      </c>
      <c r="J14" s="79"/>
    </row>
    <row r="15" spans="1:15" hidden="1" x14ac:dyDescent="0.35">
      <c r="C15" s="60"/>
      <c r="D15" s="60"/>
      <c r="E15" s="75">
        <f t="shared" si="0"/>
        <v>0</v>
      </c>
      <c r="F15" s="92"/>
      <c r="G15" s="80" t="str">
        <f xml:space="preserve"> _xll.EPMOlapMemberO("[ACCOUNT].[PARENTH1].[2001000001]","","2001000001","","000")</f>
        <v>2001000001</v>
      </c>
      <c r="H15" s="80" t="str">
        <f xml:space="preserve"> _xll.EPMOlapMemberO("[BFLOW].[PARENTH1].[B99]","","B99","","000")</f>
        <v>B99</v>
      </c>
      <c r="I15" s="80" t="str">
        <f xml:space="preserve"> _xll.EPMOlapMemberO("[TPARTNER].[PARENTH1].[IC_TOTAL_THIRD]","","IC_TOTAL_THIRD","","000")</f>
        <v>IC_TOTAL_THIRD</v>
      </c>
      <c r="J15" s="79"/>
    </row>
    <row r="16" spans="1:15" x14ac:dyDescent="0.35">
      <c r="C16" s="60" t="s">
        <v>92</v>
      </c>
      <c r="D16" s="60" t="s">
        <v>93</v>
      </c>
      <c r="E16" s="75">
        <f t="shared" si="0"/>
        <v>0</v>
      </c>
      <c r="F16" s="92">
        <f>IF(OR(E16&gt;10,E16&lt;-10),1,0)</f>
        <v>0</v>
      </c>
      <c r="G16" s="80" t="str">
        <f xml:space="preserve"> _xll.EPMOlapMemberO("[ACCOUNT].[PARENTH1].[2001000001]","","2001000001","","000")</f>
        <v>2001000001</v>
      </c>
      <c r="H16" s="80" t="str">
        <f xml:space="preserve"> _xll.EPMOlapMemberO("[BFLOW].[PARENTH1].[B99]","","B99","","000")</f>
        <v>B99</v>
      </c>
      <c r="I16" s="80" t="str">
        <f xml:space="preserve"> _xll.FPMXLClient.TechnicalCategory.EPMLocalMember("","000","000")</f>
        <v/>
      </c>
      <c r="J16" s="85">
        <f>SUM(J13, J14)-J15</f>
        <v>0</v>
      </c>
    </row>
    <row r="17" spans="3:10" hidden="1" x14ac:dyDescent="0.35">
      <c r="C17" s="60"/>
      <c r="D17" s="60"/>
      <c r="E17" s="75">
        <f t="shared" si="0"/>
        <v>0</v>
      </c>
      <c r="F17" s="92"/>
      <c r="G17" s="80" t="str">
        <f xml:space="preserve"> _xll.EPMOlapMemberO("[ACCOUNT].[PARENTH1].[1001000001]","","1001000001","","000")</f>
        <v>1001000001</v>
      </c>
      <c r="H17" s="80" t="str">
        <f xml:space="preserve"> _xll.EPMOlapMemberO("[BFLOW].[PARENTH1].[TOTB]","","TOTB","","000")</f>
        <v>TOTB</v>
      </c>
      <c r="I17" s="80" t="str">
        <f xml:space="preserve"> _xll.EPMOlapMemberO("[TPARTNER].[PARENTH1].[IC_TOTAL_THIRD]","","IC_TOTAL_THIRD","","000")</f>
        <v>IC_TOTAL_THIRD</v>
      </c>
      <c r="J17" s="79"/>
    </row>
    <row r="18" spans="3:10" hidden="1" x14ac:dyDescent="0.35">
      <c r="C18" s="60"/>
      <c r="D18" s="60"/>
      <c r="E18" s="75">
        <f t="shared" si="0"/>
        <v>0</v>
      </c>
      <c r="F18" s="92"/>
      <c r="G18" s="80" t="str">
        <f xml:space="preserve"> _xll.EPMOlapMemberO("[ACCOUNT].[PARENTH1].[1001000001]","","1001000001","","000")</f>
        <v>1001000001</v>
      </c>
      <c r="H18" s="80" t="str">
        <f xml:space="preserve"> _xll.EPMOlapMemberO("[BFLOW].[PARENTH1].[B99]","","B99","","000")</f>
        <v>B99</v>
      </c>
      <c r="I18" s="80" t="str">
        <f xml:space="preserve"> _xll.EPMOlapMemberO("[TPARTNER].[PARENTH1].[IC_TOTAL_THIRD]","","IC_TOTAL_THIRD","","000")</f>
        <v>IC_TOTAL_THIRD</v>
      </c>
      <c r="J18" s="79"/>
    </row>
    <row r="19" spans="3:10" x14ac:dyDescent="0.35">
      <c r="C19" s="60" t="s">
        <v>94</v>
      </c>
      <c r="D19" s="60" t="s">
        <v>95</v>
      </c>
      <c r="E19" s="75">
        <f t="shared" si="0"/>
        <v>0</v>
      </c>
      <c r="F19" s="92">
        <f>IF(OR(E19&gt;10,E19&lt;-10),1,0)</f>
        <v>0</v>
      </c>
      <c r="G19" s="80" t="str">
        <f xml:space="preserve"> _xll.EPMOlapMemberO("[ACCOUNT].[PARENTH1].[GCOA]","","GCOA","","000")</f>
        <v>GCOA</v>
      </c>
      <c r="H19" s="80" t="str">
        <f xml:space="preserve"> _xll.EPMOlapMemberO("[BFLOW].[PARENTH1].[ERR]","","ERR","","000")</f>
        <v>ERR</v>
      </c>
      <c r="I19" s="80" t="str">
        <f xml:space="preserve"> _xll.FPMXLClient.TechnicalCategory.EPMLocalMember("Closing","001","000")</f>
        <v>Closing</v>
      </c>
      <c r="J19" s="85">
        <f>J17-J11</f>
        <v>0</v>
      </c>
    </row>
    <row r="20" spans="3:10" x14ac:dyDescent="0.35">
      <c r="C20" s="60" t="s">
        <v>96</v>
      </c>
      <c r="D20" s="60" t="s">
        <v>97</v>
      </c>
      <c r="E20" s="75">
        <f t="shared" ref="E20" si="1">SUM(J20:XX20)</f>
        <v>0</v>
      </c>
      <c r="F20" s="92">
        <f>IF(OR(E20&gt;10,E20&lt;-10),1,0)</f>
        <v>0</v>
      </c>
      <c r="G20" s="80" t="str">
        <f xml:space="preserve"> _xll.EPMOlapMemberO("[ACCOUNT].[PARENTH1].[GCOA]","","GCOA","","000")</f>
        <v>GCOA</v>
      </c>
      <c r="H20" s="80" t="str">
        <f xml:space="preserve"> _xll.EPMOlapMemberO("[BFLOW].[PARENTH1].[ERR]","","ERR","","000")</f>
        <v>ERR</v>
      </c>
      <c r="I20" s="80" t="str">
        <f xml:space="preserve"> _xll.EPMOlapMemberO("[TPARTNER].[PARENTH1].[IC_TOTAL_THIRD]","","IC_TOTAL_THIRD","","000")</f>
        <v>IC_TOTAL_THIRD</v>
      </c>
      <c r="J20" s="79"/>
    </row>
    <row r="21" spans="3:10" x14ac:dyDescent="0.35">
      <c r="C21" s="91">
        <v>1</v>
      </c>
      <c r="F21" s="93"/>
      <c r="J21"/>
    </row>
    <row r="22" spans="3:10" ht="15.5" x14ac:dyDescent="0.35">
      <c r="C22" s="74" t="s">
        <v>142</v>
      </c>
      <c r="F22" s="93"/>
      <c r="J22"/>
    </row>
    <row r="23" spans="3:10" x14ac:dyDescent="0.35">
      <c r="C23" s="88" t="s">
        <v>122</v>
      </c>
      <c r="D23" s="84" t="s">
        <v>134</v>
      </c>
      <c r="E23" s="75">
        <f t="shared" ref="E23" si="2">SUM(J23:XX23)</f>
        <v>0</v>
      </c>
      <c r="F23" s="92"/>
      <c r="G23" s="80" t="str">
        <f xml:space="preserve"> _xll.EPMOlapMemberO("[ACCOUNT].[PARENTH1].[GCOA]","","GCOA","","000")</f>
        <v>GCOA</v>
      </c>
      <c r="H23" s="80" t="str">
        <f xml:space="preserve"> _xll.EPMOlapMemberO("[BFLOW].[PARENTH1].[ERR]","","ERR","","000")</f>
        <v>ERR</v>
      </c>
      <c r="I23" s="80" t="str">
        <f xml:space="preserve"> _xll.FPMXLClient.TechnicalCategory.EPMLocalMember("Missing Seller","027","000")</f>
        <v>Missing Seller</v>
      </c>
      <c r="J23" s="85">
        <f>COUNTIFS('Missing Seller %'!$F:$F,Validations!J10,'Missing Seller %'!$M:$M,"0")</f>
        <v>0</v>
      </c>
    </row>
    <row r="24" spans="3:10" x14ac:dyDescent="0.35">
      <c r="C24" s="88" t="s">
        <v>123</v>
      </c>
      <c r="D24" s="84" t="s">
        <v>135</v>
      </c>
      <c r="E24" s="75">
        <f t="shared" si="0"/>
        <v>0</v>
      </c>
      <c r="F24" s="92"/>
      <c r="G24" s="80" t="str">
        <f xml:space="preserve"> _xll.EPMOlapMemberO("[ACCOUNT].[PARENTH1].[GCOA]","","GCOA","","000")</f>
        <v>GCOA</v>
      </c>
      <c r="H24" s="80" t="str">
        <f xml:space="preserve"> _xll.EPMOlapMemberO("[BFLOW].[PARENTH1].[ERR]","","ERR","","000")</f>
        <v>ERR</v>
      </c>
      <c r="I24" s="80" t="str">
        <f xml:space="preserve"> _xll.FPMXLClient.TechnicalCategory.EPMLocalMember("Missing Buyer","028","000")</f>
        <v>Missing Buyer</v>
      </c>
      <c r="J24" s="85">
        <f>COUNTIFS('Missing Buyer %'!$H:$H,J10&amp;" - "&amp;_xll.EPMMemberDesc(J10),'Missing Buyer %'!$M:$M,"0")</f>
        <v>0</v>
      </c>
    </row>
    <row r="25" spans="3:10" x14ac:dyDescent="0.35">
      <c r="C25" s="88" t="s">
        <v>125</v>
      </c>
      <c r="D25" s="84" t="s">
        <v>124</v>
      </c>
      <c r="E25" s="75" t="e">
        <f t="shared" ca="1" si="0"/>
        <v>#REF!</v>
      </c>
      <c r="F25" s="92"/>
      <c r="G25" s="80" t="str">
        <f xml:space="preserve"> _xll.EPMOlapMemberO("[ACCOUNT].[PARENTH1].[GCOA]","","GCOA","","000")</f>
        <v>GCOA</v>
      </c>
      <c r="H25" s="80" t="str">
        <f xml:space="preserve"> _xll.EPMOlapMemberO("[BFLOW].[PARENTH1].[ERR]","","ERR","","000")</f>
        <v>ERR</v>
      </c>
      <c r="I25" s="80" t="str">
        <f xml:space="preserve"> _xll.FPMXLClient.TechnicalCategory.EPMLocalMember("RP Payable","003","000")</f>
        <v>RP Payable</v>
      </c>
      <c r="J25" s="85" t="e">
        <f ca="1">SUMIF(#REF!,J10&amp;" - "&amp;_xll.EPMMemberDesc(J10),#REF!)</f>
        <v>#REF!</v>
      </c>
    </row>
    <row r="26" spans="3:10" x14ac:dyDescent="0.35">
      <c r="C26" s="88" t="s">
        <v>127</v>
      </c>
      <c r="D26" s="84" t="s">
        <v>126</v>
      </c>
      <c r="E26" s="75" t="e">
        <f t="shared" ca="1" si="0"/>
        <v>#REF!</v>
      </c>
      <c r="F26" s="92"/>
      <c r="G26" s="80" t="str">
        <f xml:space="preserve"> _xll.EPMOlapMemberO("[ACCOUNT].[PARENTH1].[GCOA]","","GCOA","","000")</f>
        <v>GCOA</v>
      </c>
      <c r="H26" s="80" t="str">
        <f xml:space="preserve"> _xll.EPMOlapMemberO("[BFLOW].[PARENTH1].[ERR]","","ERR","","000")</f>
        <v>ERR</v>
      </c>
      <c r="I26" s="80" t="str">
        <f xml:space="preserve"> _xll.FPMXLClient.TechnicalCategory.EPMLocalMember("RP Receivable","004","000")</f>
        <v>RP Receivable</v>
      </c>
      <c r="J26" s="85" t="e">
        <f ca="1">SUMIF(#REF!,J10&amp;" - "&amp;_xll.EPMMemberDesc(J10),#REF!)</f>
        <v>#REF!</v>
      </c>
    </row>
    <row r="27" spans="3:10" hidden="1" x14ac:dyDescent="0.35">
      <c r="C27" s="88" t="s">
        <v>147</v>
      </c>
      <c r="D27" s="84" t="s">
        <v>132</v>
      </c>
      <c r="E27" s="75">
        <f t="shared" si="0"/>
        <v>0</v>
      </c>
      <c r="F27" s="92"/>
      <c r="G27" s="80" t="str">
        <f xml:space="preserve"> _xll.EPMOlapMemberO("[ACCOUNT].[PARENTH1].[GCOA]","","GCOA","","000")</f>
        <v>GCOA</v>
      </c>
      <c r="H27" s="80" t="str">
        <f xml:space="preserve"> _xll.EPMOlapMemberO("[BFLOW].[PARENTH1].[ERR]","","ERR","","000")</f>
        <v>ERR</v>
      </c>
      <c r="I27" s="80" t="str">
        <f xml:space="preserve"> _xll.FPMXLClient.TechnicalCategory.EPMLocalMember("Capex Move","013","000")</f>
        <v>Capex Move</v>
      </c>
      <c r="J27" s="85"/>
    </row>
    <row r="28" spans="3:10" x14ac:dyDescent="0.35">
      <c r="C28" s="88" t="s">
        <v>147</v>
      </c>
      <c r="D28" s="84" t="s">
        <v>137</v>
      </c>
      <c r="E28" s="75">
        <f t="shared" ref="E28:E31" ca="1" si="3">SUM(J28:XX28)</f>
        <v>0</v>
      </c>
      <c r="F28" s="92"/>
      <c r="G28" s="80" t="str">
        <f xml:space="preserve"> _xll.EPMOlapMemberO("[ACCOUNT].[PARENTH1].[GCOA]","","GCOA","","000")</f>
        <v>GCOA</v>
      </c>
      <c r="H28" s="80" t="str">
        <f xml:space="preserve"> _xll.EPMOlapMemberO("[BFLOW].[PARENTH1].[ERR]","","ERR","","000")</f>
        <v>ERR</v>
      </c>
      <c r="I28" s="80" t="str">
        <f xml:space="preserve"> _xll.FPMXLClient.TechnicalCategory.EPMLocalMember("Accum Dep","016","000")</f>
        <v>Accum Dep</v>
      </c>
      <c r="J28" s="85">
        <f ca="1">IFERROR(VLOOKUP(J10&amp;" - "&amp;_xll.EPMMemberDesc(J10),#REF!,17,FALSE),0)</f>
        <v>0</v>
      </c>
    </row>
    <row r="29" spans="3:10" x14ac:dyDescent="0.35">
      <c r="C29" s="88" t="s">
        <v>148</v>
      </c>
      <c r="D29" s="84" t="s">
        <v>138</v>
      </c>
      <c r="E29" s="75">
        <f t="shared" ca="1" si="3"/>
        <v>0</v>
      </c>
      <c r="F29" s="92"/>
      <c r="G29" s="80" t="str">
        <f xml:space="preserve"> _xll.EPMOlapMemberO("[ACCOUNT].[PARENTH1].[GCOA]","","GCOA","","000")</f>
        <v>GCOA</v>
      </c>
      <c r="H29" s="80" t="str">
        <f xml:space="preserve"> _xll.EPMOlapMemberO("[BFLOW].[PARENTH1].[ERR]","","ERR","","000")</f>
        <v>ERR</v>
      </c>
      <c r="I29" s="80" t="str">
        <f xml:space="preserve"> _xll.FPMXLClient.TechnicalCategory.EPMLocalMember("Prov Inv","017","000")</f>
        <v>Prov Inv</v>
      </c>
      <c r="J29" s="85">
        <f ca="1">IFERROR(VLOOKUP(J10&amp;" - "&amp;_xll.EPMMemberDesc(J10),#REF!,5,FALSE),0)</f>
        <v>0</v>
      </c>
    </row>
    <row r="30" spans="3:10" x14ac:dyDescent="0.35">
      <c r="C30" s="88" t="s">
        <v>149</v>
      </c>
      <c r="D30" s="84" t="s">
        <v>139</v>
      </c>
      <c r="E30" s="75">
        <f t="shared" ca="1" si="3"/>
        <v>0</v>
      </c>
      <c r="F30" s="92"/>
      <c r="G30" s="80" t="str">
        <f xml:space="preserve"> _xll.EPMOlapMemberO("[ACCOUNT].[PARENTH1].[GCOA]","","GCOA","","000")</f>
        <v>GCOA</v>
      </c>
      <c r="H30" s="80" t="str">
        <f xml:space="preserve"> _xll.EPMOlapMemberO("[BFLOW].[PARENTH1].[ERR]","","ERR","","000")</f>
        <v>ERR</v>
      </c>
      <c r="I30" s="80" t="str">
        <f xml:space="preserve"> _xll.FPMXLClient.TechnicalCategory.EPMLocalMember("Prov Rec","018","000")</f>
        <v>Prov Rec</v>
      </c>
      <c r="J30" s="85">
        <f ca="1">IFERROR(VLOOKUP(J10&amp;" - "&amp;_xll.EPMMemberDesc(J10),#REF!,12,FALSE),0)</f>
        <v>0</v>
      </c>
    </row>
    <row r="31" spans="3:10" x14ac:dyDescent="0.35">
      <c r="C31" s="88" t="s">
        <v>150</v>
      </c>
      <c r="D31" s="84" t="s">
        <v>133</v>
      </c>
      <c r="E31" s="75" t="e">
        <f t="shared" ca="1" si="3"/>
        <v>#REF!</v>
      </c>
      <c r="F31" s="92"/>
      <c r="G31" s="80" t="str">
        <f xml:space="preserve"> _xll.EPMOlapMemberO("[ACCOUNT].[PARENTH1].[GCOA]","","GCOA","","000")</f>
        <v>GCOA</v>
      </c>
      <c r="H31" s="80" t="str">
        <f xml:space="preserve"> _xll.EPMOlapMemberO("[BFLOW].[PARENTH1].[ERR]","","ERR","","000")</f>
        <v>ERR</v>
      </c>
      <c r="I31" s="80" t="str">
        <f xml:space="preserve"> _xll.FPMXLClient.TechnicalCategory.EPMLocalMember("Invest in Subs","019","000")</f>
        <v>Invest in Subs</v>
      </c>
      <c r="J31" s="85" t="e">
        <f ca="1">SUMIF(#REF!,J10&amp;" - "&amp;_xll.EPMMemberDesc(J10),#REF!)</f>
        <v>#REF!</v>
      </c>
    </row>
    <row r="32" spans="3:10" x14ac:dyDescent="0.35">
      <c r="C32" s="88" t="s">
        <v>151</v>
      </c>
      <c r="D32" s="84" t="s">
        <v>141</v>
      </c>
      <c r="E32" s="75" t="e">
        <f t="shared" ref="E32:E33" ca="1" si="4">SUM(J32:XX32)</f>
        <v>#REF!</v>
      </c>
      <c r="F32" s="92"/>
      <c r="G32" s="80" t="str">
        <f xml:space="preserve"> _xll.EPMOlapMemberO("[ACCOUNT].[PARENTH1].[GCOA]","","GCOA","","000")</f>
        <v>GCOA</v>
      </c>
      <c r="H32" s="80" t="str">
        <f xml:space="preserve"> _xll.EPMOlapMemberO("[BFLOW].[PARENTH1].[ERR]","","ERR","","000")</f>
        <v>ERR</v>
      </c>
      <c r="I32" s="80" t="str">
        <f xml:space="preserve"> _xll.FPMXLClient.TechnicalCategory.EPMLocalMember("Prov Invest vs P&amp;L","020","000")</f>
        <v>Prov Invest vs P&amp;L</v>
      </c>
      <c r="J32" s="85" t="e">
        <f ca="1">SUMIF(#REF!,J10&amp;" - "&amp;_xll.EPMMemberDesc(J10),#REF!)</f>
        <v>#REF!</v>
      </c>
    </row>
    <row r="33" spans="1:702" x14ac:dyDescent="0.35">
      <c r="C33" s="88" t="s">
        <v>152</v>
      </c>
      <c r="D33" s="84" t="s">
        <v>129</v>
      </c>
      <c r="E33" s="75">
        <f t="shared" ca="1" si="4"/>
        <v>0</v>
      </c>
      <c r="F33" s="92"/>
      <c r="G33" s="80" t="str">
        <f xml:space="preserve"> _xll.EPMOlapMemberO("[ACCOUNT].[PARENTH1].[GCOA]","","GCOA","","000")</f>
        <v>GCOA</v>
      </c>
      <c r="H33" s="80" t="str">
        <f xml:space="preserve"> _xll.EPMOlapMemberO("[BFLOW].[PARENTH1].[ERR]","","ERR","","000")</f>
        <v>ERR</v>
      </c>
      <c r="I33" s="80" t="str">
        <f xml:space="preserve"> _xll.FPMXLClient.TechnicalCategory.EPMLocalMember("Negative Rev","021","000")</f>
        <v>Negative Rev</v>
      </c>
      <c r="J33" s="85">
        <f ca="1">IFERROR(VLOOKUP(J10&amp;" - "&amp;_xll.EPMMemberDesc(J10),#REF!,2,FALSE),0)</f>
        <v>0</v>
      </c>
    </row>
    <row r="34" spans="1:702" x14ac:dyDescent="0.35">
      <c r="C34" s="88" t="s">
        <v>153</v>
      </c>
      <c r="D34" s="84" t="s">
        <v>128</v>
      </c>
      <c r="E34" s="75">
        <f t="shared" ref="E34" ca="1" si="5">SUM(J34:XX34)</f>
        <v>0</v>
      </c>
      <c r="F34" s="92"/>
      <c r="G34" s="80" t="str">
        <f xml:space="preserve"> _xll.EPMOlapMemberO("[ACCOUNT].[PARENTH1].[GCOA]","","GCOA","","000")</f>
        <v>GCOA</v>
      </c>
      <c r="H34" s="80" t="str">
        <f xml:space="preserve"> _xll.EPMOlapMemberO("[BFLOW].[PARENTH1].[ERR]","","ERR","","000")</f>
        <v>ERR</v>
      </c>
      <c r="I34" s="80" t="str">
        <f xml:space="preserve"> _xll.FPMXLClient.TechnicalCategory.EPMLocalMember("Dividend Inc","022","000")</f>
        <v>Dividend Inc</v>
      </c>
      <c r="J34" s="85">
        <f ca="1">IFERROR(VLOOKUP(J10&amp;" - "&amp;_xll.EPMMemberDesc(J10),#REF!, 2, FALSE), 0)</f>
        <v>0</v>
      </c>
    </row>
    <row r="35" spans="1:702" x14ac:dyDescent="0.35">
      <c r="C35" s="88" t="s">
        <v>154</v>
      </c>
      <c r="D35" s="84" t="s">
        <v>170</v>
      </c>
      <c r="E35" s="75"/>
      <c r="F35" s="92"/>
      <c r="G35" s="80" t="str">
        <f xml:space="preserve"> _xll.EPMOlapMemberO("[ACCOUNT].[PARENTH1].[GCOA]","","GCOA","","000")</f>
        <v>GCOA</v>
      </c>
      <c r="H35" s="80" t="str">
        <f xml:space="preserve"> _xll.EPMOlapMemberO("[BFLOW].[PARENTH1].[ERR]","","ERR","","000")</f>
        <v>ERR</v>
      </c>
      <c r="I35" s="80" t="str">
        <f xml:space="preserve"> _xll.FPMXLClient.TechnicalCategory.EPMLocalMember("Capex Addition","023","000")</f>
        <v>Capex Addition</v>
      </c>
      <c r="J35" s="85" t="e">
        <f ca="1">SUMIF(#REF!,J10&amp;" - "&amp;_xll.EPMMemberDesc(J10),#REF!)</f>
        <v>#REF!</v>
      </c>
    </row>
    <row r="36" spans="1:702" x14ac:dyDescent="0.35">
      <c r="C36" s="88" t="s">
        <v>155</v>
      </c>
      <c r="D36" s="84" t="s">
        <v>171</v>
      </c>
      <c r="E36" s="75"/>
      <c r="F36" s="92"/>
      <c r="G36" s="80" t="str">
        <f xml:space="preserve"> _xll.EPMOlapMemberO("[ACCOUNT].[PARENTH1].[GCOA]","","GCOA","","000")</f>
        <v>GCOA</v>
      </c>
      <c r="H36" s="80" t="str">
        <f xml:space="preserve"> _xll.EPMOlapMemberO("[BFLOW].[PARENTH1].[ERR]","","ERR","","000")</f>
        <v>ERR</v>
      </c>
      <c r="I36" s="80" t="str">
        <f xml:space="preserve"> _xll.FPMXLClient.TechnicalCategory.EPMLocalMember("Capex Disposal","002","000")</f>
        <v>Capex Disposal</v>
      </c>
      <c r="J36" s="85" t="e">
        <f ca="1">SUMIF(#REF!,J10&amp;" - "&amp;_xll.EPMMemberDesc(J10),#REF!)</f>
        <v>#REF!</v>
      </c>
    </row>
    <row r="37" spans="1:702" x14ac:dyDescent="0.35">
      <c r="C37" s="88" t="s">
        <v>156</v>
      </c>
      <c r="D37" s="84" t="s">
        <v>168</v>
      </c>
      <c r="E37" s="75" t="e">
        <f t="shared" ref="E37:E40" ca="1" si="6">SUM(J37:XX37)</f>
        <v>#REF!</v>
      </c>
      <c r="F37" s="92"/>
      <c r="G37" s="80" t="str">
        <f xml:space="preserve"> _xll.EPMOlapMemberO("[ACCOUNT].[PARENTH1].[GCOA]","","GCOA","","000")</f>
        <v>GCOA</v>
      </c>
      <c r="H37" s="80" t="str">
        <f xml:space="preserve"> _xll.EPMOlapMemberO("[BFLOW].[PARENTH1].[ERR]","","ERR","","000")</f>
        <v>ERR</v>
      </c>
      <c r="I37" s="80" t="str">
        <f xml:space="preserve"> _xll.FPMXLClient.TechnicalCategory.EPMLocalMember("Receivable Reverse","005","000")</f>
        <v>Receivable Reverse</v>
      </c>
      <c r="J37" s="85" t="e">
        <f ca="1">SUMIF(#REF!,J10&amp;" - "&amp;_xll.EPMMemberDesc(J10),#REF!)</f>
        <v>#REF!</v>
      </c>
    </row>
    <row r="38" spans="1:702" x14ac:dyDescent="0.35">
      <c r="C38" s="88" t="s">
        <v>157</v>
      </c>
      <c r="D38" s="84" t="s">
        <v>167</v>
      </c>
      <c r="E38" s="75" t="e">
        <f t="shared" ca="1" si="6"/>
        <v>#REF!</v>
      </c>
      <c r="F38" s="92"/>
      <c r="G38" s="80" t="str">
        <f xml:space="preserve"> _xll.EPMOlapMemberO("[ACCOUNT].[PARENTH1].[GCOA]","","GCOA","","000")</f>
        <v>GCOA</v>
      </c>
      <c r="H38" s="80" t="str">
        <f xml:space="preserve"> _xll.EPMOlapMemberO("[BFLOW].[PARENTH1].[ERR]","","ERR","","000")</f>
        <v>ERR</v>
      </c>
      <c r="I38" s="80" t="str">
        <f xml:space="preserve"> _xll.FPMXLClient.TechnicalCategory.EPMLocalMember("Payable Reverse","006","000")</f>
        <v>Payable Reverse</v>
      </c>
      <c r="J38" s="85" t="e">
        <f ca="1">SUMIF(#REF!,J10&amp;" - "&amp;_xll.EPMMemberDesc(J10),#REF!)</f>
        <v>#REF!</v>
      </c>
    </row>
    <row r="39" spans="1:702" x14ac:dyDescent="0.35">
      <c r="C39" s="88" t="s">
        <v>158</v>
      </c>
      <c r="D39" s="84" t="s">
        <v>140</v>
      </c>
      <c r="E39" s="75">
        <f t="shared" ca="1" si="6"/>
        <v>0</v>
      </c>
      <c r="F39" s="92"/>
      <c r="G39" s="80" t="str">
        <f xml:space="preserve"> _xll.EPMOlapMemberO("[ACCOUNT].[PARENTH1].[GCOA]","","GCOA","","000")</f>
        <v>GCOA</v>
      </c>
      <c r="H39" s="80" t="str">
        <f xml:space="preserve"> _xll.EPMOlapMemberO("[BFLOW].[PARENTH1].[ERR]","","ERR","","000")</f>
        <v>ERR</v>
      </c>
      <c r="I39" s="80" t="str">
        <f xml:space="preserve"> _xll.FPMXLClient.TechnicalCategory.EPMLocalMember("Reserve","024","000")</f>
        <v>Reserve</v>
      </c>
      <c r="J39" s="85">
        <f ca="1">IFERROR(VLOOKUP(J10&amp;" - "&amp;_xll.EPMMemberDesc(J10),#REF!,23,FALSE),0)</f>
        <v>0</v>
      </c>
    </row>
    <row r="40" spans="1:702" x14ac:dyDescent="0.35">
      <c r="C40" s="88" t="s">
        <v>227</v>
      </c>
      <c r="D40" s="84" t="s">
        <v>228</v>
      </c>
      <c r="E40" s="75">
        <f t="shared" ca="1" si="6"/>
        <v>0</v>
      </c>
      <c r="F40" s="92"/>
      <c r="G40" s="80" t="str">
        <f xml:space="preserve"> _xll.EPMOlapMemberO("[ACCOUNT].[PARENTH1].[GCOA]","","GCOA","","000")</f>
        <v>GCOA</v>
      </c>
      <c r="H40" s="80" t="str">
        <f xml:space="preserve"> _xll.EPMOlapMemberO("[BFLOW].[PARENTH1].[ERR]","","ERR","","000")</f>
        <v>ERR</v>
      </c>
      <c r="I40" s="80" t="str">
        <f xml:space="preserve"> _xll.FPMXLClient.TechnicalCategory.EPMLocalMember("Finance &amp; COE","007","000")</f>
        <v>Finance &amp; COE</v>
      </c>
      <c r="J40" s="85">
        <f ca="1">IFERROR(VLOOKUP(J10&amp;" - "&amp;_xll.EPMMemberDesc(J10),#REF!, 12, FALSE), 0)</f>
        <v>0</v>
      </c>
    </row>
    <row r="41" spans="1:702" x14ac:dyDescent="0.35">
      <c r="J41"/>
    </row>
    <row r="42" spans="1:702" ht="15.5" x14ac:dyDescent="0.35">
      <c r="A42" s="87"/>
      <c r="C42" s="147" t="s">
        <v>136</v>
      </c>
      <c r="D42" s="147"/>
      <c r="E42" s="147"/>
      <c r="F42" s="100">
        <f>SUM(F23:F40)</f>
        <v>0</v>
      </c>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c r="DA42" s="89"/>
      <c r="DB42" s="89"/>
      <c r="DC42" s="89"/>
      <c r="DD42" s="89"/>
      <c r="DE42" s="89"/>
      <c r="DF42" s="89"/>
      <c r="DG42" s="89"/>
      <c r="DH42" s="89"/>
      <c r="DI42" s="89"/>
      <c r="DJ42" s="89"/>
      <c r="DK42" s="89"/>
      <c r="DL42" s="89"/>
      <c r="DM42" s="89"/>
      <c r="DN42" s="89"/>
      <c r="DO42" s="89"/>
      <c r="DP42" s="89"/>
      <c r="DQ42" s="89"/>
      <c r="DR42" s="89"/>
      <c r="DS42" s="89"/>
      <c r="DT42" s="89"/>
      <c r="DU42" s="89"/>
      <c r="DV42" s="89"/>
      <c r="DW42" s="89"/>
      <c r="DX42" s="89"/>
      <c r="DY42" s="89"/>
      <c r="DZ42" s="89"/>
      <c r="EA42" s="89"/>
      <c r="EB42" s="89"/>
      <c r="EC42" s="89"/>
      <c r="ED42" s="89"/>
      <c r="EE42" s="89"/>
      <c r="EF42" s="89"/>
      <c r="EG42" s="89"/>
      <c r="EH42" s="89"/>
      <c r="EI42" s="89"/>
      <c r="EJ42" s="89"/>
      <c r="EK42" s="89"/>
      <c r="EL42" s="89"/>
      <c r="EM42" s="89"/>
      <c r="EN42" s="89"/>
      <c r="EO42" s="89"/>
      <c r="EP42" s="89"/>
      <c r="EQ42" s="89"/>
      <c r="ER42" s="89"/>
      <c r="ES42" s="89"/>
      <c r="ET42" s="89"/>
      <c r="EU42" s="89"/>
      <c r="EV42" s="89"/>
      <c r="EW42" s="89"/>
      <c r="EX42" s="89"/>
      <c r="EY42" s="89"/>
      <c r="EZ42" s="89"/>
      <c r="FA42" s="89"/>
      <c r="FB42" s="89"/>
      <c r="FC42" s="89"/>
      <c r="FD42" s="89"/>
      <c r="FE42" s="89"/>
      <c r="FF42" s="89"/>
      <c r="FG42" s="89"/>
      <c r="FH42" s="89"/>
      <c r="FI42" s="89"/>
      <c r="FJ42" s="89"/>
      <c r="FK42" s="89"/>
      <c r="FL42" s="89"/>
      <c r="FM42" s="89"/>
      <c r="FN42" s="89"/>
      <c r="FO42" s="89"/>
      <c r="FP42" s="89"/>
      <c r="FQ42" s="89"/>
      <c r="FR42" s="89"/>
      <c r="FS42" s="89"/>
      <c r="FT42" s="89"/>
      <c r="FU42" s="89"/>
      <c r="FV42" s="89"/>
      <c r="FW42" s="89"/>
      <c r="FX42" s="89"/>
      <c r="FY42" s="89"/>
      <c r="FZ42" s="89"/>
      <c r="GA42" s="89"/>
      <c r="GB42" s="89"/>
      <c r="GC42" s="89"/>
      <c r="GD42" s="89"/>
      <c r="GE42" s="89"/>
      <c r="GF42" s="89"/>
      <c r="GG42" s="89"/>
      <c r="GH42" s="89"/>
      <c r="GI42" s="89"/>
      <c r="GJ42" s="89"/>
      <c r="GK42" s="89"/>
      <c r="GL42" s="89"/>
      <c r="GM42" s="89"/>
      <c r="GN42" s="89"/>
      <c r="GO42" s="89"/>
      <c r="GP42" s="89"/>
      <c r="GQ42" s="89"/>
      <c r="GR42" s="89"/>
      <c r="GS42" s="89"/>
      <c r="GT42" s="89"/>
      <c r="GU42" s="89"/>
      <c r="GV42" s="89"/>
      <c r="GW42" s="89"/>
      <c r="GX42" s="89"/>
      <c r="GY42" s="89"/>
      <c r="GZ42" s="89"/>
      <c r="HA42" s="89"/>
      <c r="HB42" s="89"/>
      <c r="HC42" s="89"/>
      <c r="HD42" s="89"/>
      <c r="HE42" s="89"/>
      <c r="HF42" s="89"/>
      <c r="HG42" s="89"/>
      <c r="HH42" s="89"/>
      <c r="HI42" s="89"/>
      <c r="HJ42" s="89"/>
      <c r="HK42" s="89"/>
      <c r="HL42" s="89"/>
      <c r="HM42" s="89"/>
      <c r="HN42" s="89"/>
      <c r="HO42" s="89"/>
      <c r="HP42" s="89"/>
      <c r="HQ42" s="89"/>
      <c r="HR42" s="89"/>
      <c r="HS42" s="89"/>
      <c r="HT42" s="89"/>
      <c r="HU42" s="89"/>
      <c r="HV42" s="89"/>
      <c r="HW42" s="89"/>
      <c r="HX42" s="89"/>
      <c r="HY42" s="89"/>
      <c r="HZ42" s="89"/>
      <c r="IA42" s="89"/>
      <c r="IB42" s="89"/>
      <c r="IC42" s="89"/>
      <c r="ID42" s="89"/>
      <c r="IE42" s="89"/>
      <c r="IF42" s="89"/>
      <c r="IG42" s="89"/>
      <c r="IH42" s="89"/>
      <c r="II42" s="89"/>
      <c r="IJ42" s="89"/>
      <c r="IK42" s="89"/>
      <c r="IL42" s="89"/>
      <c r="IM42" s="89"/>
      <c r="IN42" s="89"/>
      <c r="IO42" s="89"/>
      <c r="IP42" s="89"/>
      <c r="IQ42" s="89"/>
      <c r="IR42" s="89"/>
      <c r="IS42" s="89"/>
      <c r="IT42" s="89"/>
      <c r="IU42" s="89"/>
      <c r="IV42" s="89"/>
      <c r="IW42" s="89"/>
      <c r="IX42" s="89"/>
      <c r="IY42" s="89"/>
      <c r="IZ42" s="89"/>
      <c r="JA42" s="89"/>
      <c r="JB42" s="89"/>
      <c r="JC42" s="89"/>
      <c r="JD42" s="89"/>
      <c r="JE42" s="89"/>
      <c r="JF42" s="89"/>
      <c r="JG42" s="89"/>
      <c r="JH42" s="89"/>
      <c r="JI42" s="89"/>
      <c r="JJ42" s="89"/>
      <c r="JK42" s="89"/>
      <c r="JL42" s="89"/>
      <c r="JM42" s="89"/>
      <c r="JN42" s="89"/>
      <c r="JO42" s="89"/>
      <c r="JP42" s="89"/>
      <c r="JQ42" s="89"/>
      <c r="JR42" s="89"/>
      <c r="JS42" s="89"/>
      <c r="JT42" s="89"/>
      <c r="JU42" s="89"/>
      <c r="JV42" s="89"/>
      <c r="JW42" s="89"/>
      <c r="JX42" s="89"/>
      <c r="JY42" s="89"/>
      <c r="JZ42" s="89"/>
      <c r="KA42" s="89"/>
      <c r="KB42" s="89"/>
      <c r="KC42" s="89"/>
      <c r="KD42" s="89"/>
      <c r="KE42" s="89"/>
      <c r="KF42" s="89"/>
      <c r="KG42" s="89"/>
      <c r="KH42" s="89"/>
      <c r="KI42" s="89"/>
      <c r="KJ42" s="89"/>
      <c r="KK42" s="89"/>
      <c r="KL42" s="89"/>
      <c r="KM42" s="89"/>
      <c r="KN42" s="89"/>
      <c r="KO42" s="89"/>
      <c r="KP42" s="89"/>
      <c r="KQ42" s="89"/>
      <c r="KR42" s="89"/>
      <c r="KS42" s="89"/>
      <c r="KT42" s="89"/>
      <c r="KU42" s="89"/>
      <c r="KV42" s="89"/>
      <c r="KW42" s="89"/>
      <c r="KX42" s="89"/>
      <c r="KY42" s="89"/>
      <c r="KZ42" s="89"/>
      <c r="LA42" s="89"/>
      <c r="LB42" s="89"/>
      <c r="LC42" s="89"/>
      <c r="LD42" s="89"/>
      <c r="LE42" s="89"/>
      <c r="LF42" s="89"/>
      <c r="LG42" s="89"/>
      <c r="LH42" s="89"/>
      <c r="LI42" s="89"/>
      <c r="LJ42" s="89"/>
      <c r="LK42" s="89"/>
      <c r="LL42" s="89"/>
      <c r="LM42" s="89"/>
      <c r="LN42" s="89"/>
      <c r="LO42" s="89"/>
      <c r="LP42" s="89"/>
      <c r="LQ42" s="89"/>
      <c r="LR42" s="89"/>
      <c r="LS42" s="89"/>
      <c r="LT42" s="89"/>
      <c r="LU42" s="89"/>
      <c r="LV42" s="89"/>
      <c r="LW42" s="89"/>
      <c r="LX42" s="89"/>
      <c r="LY42" s="89"/>
      <c r="LZ42" s="89"/>
      <c r="MA42" s="89"/>
      <c r="MB42" s="89"/>
      <c r="MC42" s="89"/>
      <c r="MD42" s="89"/>
      <c r="ME42" s="89"/>
      <c r="MF42" s="89"/>
      <c r="MG42" s="89"/>
      <c r="MH42" s="89"/>
      <c r="MI42" s="89"/>
      <c r="MJ42" s="89"/>
      <c r="MK42" s="89"/>
      <c r="ML42" s="89"/>
      <c r="MM42" s="89"/>
      <c r="MN42" s="89"/>
      <c r="MO42" s="89"/>
      <c r="MP42" s="89"/>
      <c r="MQ42" s="89"/>
      <c r="MR42" s="89"/>
      <c r="MS42" s="89"/>
      <c r="MT42" s="89"/>
      <c r="MU42" s="89"/>
      <c r="MV42" s="89"/>
      <c r="MW42" s="89"/>
      <c r="MX42" s="89"/>
      <c r="MY42" s="89"/>
      <c r="MZ42" s="89"/>
      <c r="NA42" s="89"/>
      <c r="NB42" s="89"/>
      <c r="NC42" s="89"/>
      <c r="ND42" s="89"/>
      <c r="NE42" s="89"/>
      <c r="NF42" s="89"/>
      <c r="NG42" s="89"/>
      <c r="NH42" s="89"/>
      <c r="NI42" s="89"/>
      <c r="NJ42" s="89"/>
      <c r="NK42" s="89"/>
      <c r="NL42" s="89"/>
      <c r="NM42" s="89"/>
      <c r="NN42" s="89"/>
      <c r="NO42" s="89"/>
      <c r="NP42" s="89"/>
      <c r="NQ42" s="89"/>
      <c r="NR42" s="89"/>
      <c r="NS42" s="89"/>
      <c r="NT42" s="89"/>
      <c r="NU42" s="89"/>
      <c r="NV42" s="89"/>
      <c r="NW42" s="89"/>
      <c r="NX42" s="89"/>
      <c r="NY42" s="89"/>
      <c r="NZ42" s="89"/>
      <c r="OA42" s="89"/>
      <c r="OB42" s="89"/>
      <c r="OC42" s="89"/>
      <c r="OD42" s="89"/>
      <c r="OE42" s="89"/>
      <c r="OF42" s="89"/>
      <c r="OG42" s="89"/>
      <c r="OH42" s="89"/>
      <c r="OI42" s="89"/>
      <c r="OJ42" s="89"/>
      <c r="OK42" s="89"/>
      <c r="OL42" s="89"/>
      <c r="OM42" s="89"/>
      <c r="ON42" s="89"/>
      <c r="OO42" s="89"/>
      <c r="OP42" s="89"/>
      <c r="OQ42" s="89"/>
      <c r="OR42" s="89"/>
      <c r="OS42" s="89"/>
      <c r="OT42" s="89"/>
      <c r="OU42" s="89"/>
      <c r="OV42" s="89"/>
      <c r="OW42" s="89"/>
      <c r="OX42" s="89"/>
      <c r="OY42" s="89"/>
      <c r="OZ42" s="89"/>
      <c r="PA42" s="89"/>
      <c r="PB42" s="89"/>
      <c r="PC42" s="89"/>
      <c r="PD42" s="89"/>
      <c r="PE42" s="89"/>
      <c r="PF42" s="89"/>
      <c r="PG42" s="89"/>
      <c r="PH42" s="89"/>
      <c r="PI42" s="89"/>
      <c r="PJ42" s="89"/>
      <c r="PK42" s="89"/>
      <c r="PL42" s="89"/>
      <c r="PM42" s="89"/>
      <c r="PN42" s="89"/>
      <c r="PO42" s="89"/>
      <c r="PP42" s="89"/>
      <c r="PQ42" s="89"/>
      <c r="PR42" s="89"/>
      <c r="PS42" s="89"/>
      <c r="PT42" s="89"/>
      <c r="PU42" s="89"/>
      <c r="PV42" s="89"/>
      <c r="PW42" s="89"/>
      <c r="PX42" s="89"/>
      <c r="PY42" s="89"/>
      <c r="PZ42" s="89"/>
      <c r="QA42" s="89"/>
      <c r="QB42" s="89"/>
      <c r="QC42" s="89"/>
      <c r="QD42" s="89"/>
      <c r="QE42" s="89"/>
      <c r="QF42" s="89"/>
      <c r="QG42" s="89"/>
      <c r="QH42" s="89"/>
      <c r="QI42" s="89"/>
      <c r="QJ42" s="89"/>
      <c r="QK42" s="89"/>
      <c r="QL42" s="89"/>
      <c r="QM42" s="89"/>
      <c r="QN42" s="89"/>
      <c r="QO42" s="89"/>
      <c r="QP42" s="89"/>
      <c r="QQ42" s="89"/>
      <c r="QR42" s="89"/>
      <c r="QS42" s="89"/>
      <c r="QT42" s="89"/>
      <c r="QU42" s="89"/>
      <c r="QV42" s="89"/>
      <c r="QW42" s="89"/>
      <c r="QX42" s="89"/>
      <c r="QY42" s="89"/>
      <c r="QZ42" s="89"/>
      <c r="RA42" s="89"/>
      <c r="RB42" s="89"/>
      <c r="RC42" s="89"/>
      <c r="RD42" s="89"/>
      <c r="RE42" s="89"/>
      <c r="RF42" s="89"/>
      <c r="RG42" s="89"/>
      <c r="RH42" s="89"/>
      <c r="RI42" s="89"/>
      <c r="RJ42" s="89"/>
      <c r="RK42" s="89"/>
      <c r="RL42" s="89"/>
      <c r="RM42" s="89"/>
      <c r="RN42" s="89"/>
      <c r="RO42" s="89"/>
      <c r="RP42" s="89"/>
      <c r="RQ42" s="89"/>
      <c r="RR42" s="89"/>
      <c r="RS42" s="89"/>
      <c r="RT42" s="89"/>
      <c r="RU42" s="89"/>
      <c r="RV42" s="89"/>
      <c r="RW42" s="89"/>
      <c r="RX42" s="89"/>
      <c r="RY42" s="89"/>
      <c r="RZ42" s="89"/>
      <c r="SA42" s="89"/>
      <c r="SB42" s="89"/>
      <c r="SC42" s="89"/>
      <c r="SD42" s="89"/>
      <c r="SE42" s="89"/>
      <c r="SF42" s="89"/>
      <c r="SG42" s="89"/>
      <c r="SH42" s="89"/>
      <c r="SI42" s="89"/>
      <c r="SJ42" s="89"/>
      <c r="SK42" s="89"/>
      <c r="SL42" s="89"/>
      <c r="SM42" s="89"/>
      <c r="SN42" s="89"/>
      <c r="SO42" s="89"/>
      <c r="SP42" s="89"/>
      <c r="SQ42" s="89"/>
      <c r="SR42" s="89"/>
      <c r="SS42" s="89"/>
      <c r="ST42" s="89"/>
      <c r="SU42" s="89"/>
      <c r="SV42" s="89"/>
      <c r="SW42" s="89"/>
      <c r="SX42" s="89"/>
      <c r="SY42" s="89"/>
      <c r="SZ42" s="89"/>
      <c r="TA42" s="89"/>
      <c r="TB42" s="89"/>
      <c r="TC42" s="89"/>
      <c r="TD42" s="89"/>
      <c r="TE42" s="89"/>
      <c r="TF42" s="89"/>
      <c r="TG42" s="89"/>
      <c r="TH42" s="89"/>
      <c r="TI42" s="89"/>
      <c r="TJ42" s="89"/>
      <c r="TK42" s="89"/>
      <c r="TL42" s="89"/>
      <c r="TM42" s="89"/>
      <c r="TN42" s="89"/>
      <c r="TO42" s="89"/>
      <c r="TP42" s="89"/>
      <c r="TQ42" s="89"/>
      <c r="TR42" s="89"/>
      <c r="TS42" s="89"/>
      <c r="TT42" s="89"/>
      <c r="TU42" s="89"/>
      <c r="TV42" s="89"/>
      <c r="TW42" s="89"/>
      <c r="TX42" s="89"/>
      <c r="TY42" s="89"/>
      <c r="TZ42" s="89"/>
      <c r="UA42" s="89"/>
      <c r="UB42" s="89"/>
      <c r="UC42" s="89"/>
      <c r="UD42" s="89"/>
      <c r="UE42" s="89"/>
      <c r="UF42" s="89"/>
      <c r="UG42" s="89"/>
      <c r="UH42" s="89"/>
      <c r="UI42" s="89"/>
      <c r="UJ42" s="89"/>
      <c r="UK42" s="89"/>
      <c r="UL42" s="89"/>
      <c r="UM42" s="89"/>
      <c r="UN42" s="89"/>
      <c r="UO42" s="89"/>
      <c r="UP42" s="89"/>
      <c r="UQ42" s="89"/>
      <c r="UR42" s="89"/>
      <c r="US42" s="89"/>
      <c r="UT42" s="89"/>
      <c r="UU42" s="89"/>
      <c r="UV42" s="89"/>
      <c r="UW42" s="89"/>
      <c r="UX42" s="89"/>
      <c r="UY42" s="89"/>
      <c r="UZ42" s="89"/>
      <c r="VA42" s="89"/>
      <c r="VB42" s="89"/>
      <c r="VC42" s="89"/>
      <c r="VD42" s="89"/>
      <c r="VE42" s="89"/>
      <c r="VF42" s="89"/>
      <c r="VG42" s="89"/>
      <c r="VH42" s="89"/>
      <c r="VI42" s="89"/>
      <c r="VJ42" s="89"/>
      <c r="VK42" s="89"/>
      <c r="VL42" s="89"/>
      <c r="VM42" s="89"/>
      <c r="VN42" s="89"/>
      <c r="VO42" s="89"/>
      <c r="VP42" s="89"/>
      <c r="VQ42" s="89"/>
      <c r="VR42" s="89"/>
      <c r="VS42" s="89"/>
      <c r="VT42" s="89"/>
      <c r="VU42" s="89"/>
      <c r="VV42" s="89"/>
      <c r="VW42" s="89"/>
      <c r="VX42" s="89"/>
      <c r="VY42" s="89"/>
      <c r="VZ42" s="89"/>
      <c r="WA42" s="89"/>
      <c r="WB42" s="89"/>
      <c r="WC42" s="89"/>
      <c r="WD42" s="89"/>
      <c r="WE42" s="89"/>
      <c r="WF42" s="89"/>
      <c r="WG42" s="89"/>
      <c r="WH42" s="89"/>
      <c r="WI42" s="89"/>
      <c r="WJ42" s="89"/>
      <c r="WK42" s="89"/>
      <c r="WL42" s="89"/>
      <c r="WM42" s="89"/>
      <c r="WN42" s="89"/>
      <c r="WO42" s="89"/>
      <c r="WP42" s="89"/>
      <c r="WQ42" s="89"/>
      <c r="WR42" s="89"/>
      <c r="WS42" s="89"/>
      <c r="WT42" s="89"/>
      <c r="WU42" s="89"/>
      <c r="WV42" s="89"/>
      <c r="WW42" s="89"/>
      <c r="WX42" s="89"/>
      <c r="WY42" s="89"/>
      <c r="WZ42" s="89"/>
      <c r="XA42" s="89"/>
      <c r="XB42" s="89"/>
      <c r="XC42" s="89"/>
      <c r="XD42" s="89"/>
      <c r="XE42" s="89"/>
      <c r="XF42" s="89"/>
      <c r="XG42" s="89"/>
      <c r="XH42" s="89"/>
      <c r="XI42" s="89"/>
      <c r="XJ42" s="89"/>
      <c r="XK42" s="89"/>
      <c r="XL42" s="89"/>
      <c r="XM42" s="89"/>
      <c r="XN42" s="89"/>
      <c r="XO42" s="89"/>
      <c r="XP42" s="89"/>
      <c r="XQ42" s="89"/>
      <c r="XR42" s="89"/>
      <c r="XS42" s="89"/>
      <c r="XT42" s="89"/>
      <c r="XU42" s="89"/>
      <c r="XV42" s="89"/>
      <c r="XW42" s="89"/>
      <c r="XX42" s="89"/>
      <c r="XY42" s="89"/>
      <c r="XZ42" s="89"/>
      <c r="YA42" s="89"/>
      <c r="YB42" s="89"/>
      <c r="YC42" s="89"/>
      <c r="YD42" s="89"/>
      <c r="YE42" s="89"/>
      <c r="YF42" s="89"/>
      <c r="YG42" s="89"/>
      <c r="YH42" s="89"/>
      <c r="YI42" s="89"/>
      <c r="YJ42" s="89"/>
      <c r="YK42" s="89"/>
      <c r="YL42" s="89"/>
      <c r="YM42" s="89"/>
      <c r="YN42" s="89"/>
      <c r="YO42" s="89"/>
      <c r="YP42" s="89"/>
      <c r="YQ42" s="89"/>
      <c r="YR42" s="89"/>
      <c r="YS42" s="89"/>
      <c r="YT42" s="89"/>
      <c r="YU42" s="89"/>
      <c r="YV42" s="89"/>
      <c r="YW42" s="89"/>
      <c r="YX42" s="89"/>
      <c r="YY42" s="89"/>
      <c r="YZ42" s="89"/>
      <c r="ZA42" s="89"/>
      <c r="ZB42" s="89"/>
      <c r="ZC42" s="89"/>
      <c r="ZD42" s="89"/>
      <c r="ZE42" s="89"/>
      <c r="ZF42" s="89"/>
      <c r="ZG42" s="89"/>
      <c r="ZH42" s="89"/>
      <c r="ZI42" s="89"/>
      <c r="ZJ42" s="89"/>
      <c r="ZK42" s="89"/>
      <c r="ZL42" s="89"/>
      <c r="ZM42" s="89"/>
      <c r="ZN42" s="89"/>
      <c r="ZO42" s="89"/>
      <c r="ZP42" s="89"/>
      <c r="ZQ42" s="89"/>
      <c r="ZR42" s="89"/>
      <c r="ZS42" s="89"/>
      <c r="ZT42" s="89"/>
      <c r="ZU42" s="89"/>
      <c r="ZV42" s="89"/>
      <c r="ZW42" s="89"/>
      <c r="ZX42" s="89"/>
      <c r="ZY42" s="89"/>
      <c r="ZZ42" s="89"/>
    </row>
    <row r="43" spans="1:702" s="89" customFormat="1" x14ac:dyDescent="0.35">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row>
    <row r="44" spans="1:702" x14ac:dyDescent="0.35">
      <c r="J44"/>
    </row>
    <row r="45" spans="1:702" x14ac:dyDescent="0.35">
      <c r="J45"/>
    </row>
    <row r="46" spans="1:702" x14ac:dyDescent="0.35">
      <c r="J46"/>
    </row>
    <row r="47" spans="1:702" x14ac:dyDescent="0.35">
      <c r="J47"/>
    </row>
    <row r="48" spans="1:702" x14ac:dyDescent="0.35">
      <c r="J48"/>
    </row>
    <row r="49" spans="10:10" x14ac:dyDescent="0.35">
      <c r="J49"/>
    </row>
    <row r="50" spans="10:10" x14ac:dyDescent="0.35">
      <c r="J50"/>
    </row>
    <row r="51" spans="10:10" x14ac:dyDescent="0.35">
      <c r="J51"/>
    </row>
    <row r="52" spans="10:10" x14ac:dyDescent="0.35">
      <c r="J52"/>
    </row>
    <row r="53" spans="10:10" x14ac:dyDescent="0.35">
      <c r="J53"/>
    </row>
    <row r="54" spans="10:10" x14ac:dyDescent="0.35">
      <c r="J54"/>
    </row>
    <row r="55" spans="10:10" x14ac:dyDescent="0.35">
      <c r="J55"/>
    </row>
    <row r="56" spans="10:10" x14ac:dyDescent="0.35">
      <c r="J56"/>
    </row>
    <row r="57" spans="10:10" x14ac:dyDescent="0.35">
      <c r="J57"/>
    </row>
    <row r="58" spans="10:10" x14ac:dyDescent="0.35">
      <c r="J58"/>
    </row>
    <row r="59" spans="10:10" x14ac:dyDescent="0.35">
      <c r="J59"/>
    </row>
    <row r="60" spans="10:10" x14ac:dyDescent="0.35">
      <c r="J60"/>
    </row>
    <row r="61" spans="10:10" x14ac:dyDescent="0.35">
      <c r="J61"/>
    </row>
    <row r="62" spans="10:10" x14ac:dyDescent="0.35">
      <c r="J62"/>
    </row>
    <row r="63" spans="10:10" x14ac:dyDescent="0.35">
      <c r="J63"/>
    </row>
    <row r="64" spans="10:10" x14ac:dyDescent="0.35">
      <c r="J64"/>
    </row>
    <row r="65" spans="10:10" x14ac:dyDescent="0.35">
      <c r="J65"/>
    </row>
    <row r="66" spans="10:10" x14ac:dyDescent="0.35">
      <c r="J66"/>
    </row>
    <row r="67" spans="10:10" x14ac:dyDescent="0.35">
      <c r="J67"/>
    </row>
    <row r="68" spans="10:10" x14ac:dyDescent="0.35">
      <c r="J68"/>
    </row>
    <row r="69" spans="10:10" x14ac:dyDescent="0.35">
      <c r="J69"/>
    </row>
    <row r="70" spans="10:10" x14ac:dyDescent="0.35">
      <c r="J70"/>
    </row>
    <row r="71" spans="10:10" x14ac:dyDescent="0.35">
      <c r="J71"/>
    </row>
    <row r="72" spans="10:10" x14ac:dyDescent="0.35">
      <c r="J72"/>
    </row>
    <row r="73" spans="10:10" x14ac:dyDescent="0.35">
      <c r="J73"/>
    </row>
    <row r="74" spans="10:10" x14ac:dyDescent="0.35">
      <c r="J74"/>
    </row>
    <row r="75" spans="10:10" x14ac:dyDescent="0.35">
      <c r="J75"/>
    </row>
    <row r="76" spans="10:10" x14ac:dyDescent="0.35">
      <c r="J76"/>
    </row>
    <row r="77" spans="10:10" x14ac:dyDescent="0.35">
      <c r="J77"/>
    </row>
    <row r="78" spans="10:10" x14ac:dyDescent="0.35">
      <c r="J78"/>
    </row>
    <row r="79" spans="10:10" x14ac:dyDescent="0.35">
      <c r="J79"/>
    </row>
    <row r="80" spans="10:10" x14ac:dyDescent="0.35">
      <c r="J80"/>
    </row>
    <row r="81" spans="10:10" x14ac:dyDescent="0.35">
      <c r="J81"/>
    </row>
    <row r="82" spans="10:10" x14ac:dyDescent="0.35">
      <c r="J82"/>
    </row>
    <row r="83" spans="10:10" x14ac:dyDescent="0.35">
      <c r="J83"/>
    </row>
    <row r="84" spans="10:10" x14ac:dyDescent="0.35">
      <c r="J84"/>
    </row>
    <row r="85" spans="10:10" x14ac:dyDescent="0.35">
      <c r="J85"/>
    </row>
    <row r="86" spans="10:10" x14ac:dyDescent="0.35">
      <c r="J86"/>
    </row>
    <row r="87" spans="10:10" x14ac:dyDescent="0.35">
      <c r="J87"/>
    </row>
    <row r="88" spans="10:10" x14ac:dyDescent="0.35">
      <c r="J88"/>
    </row>
    <row r="89" spans="10:10" x14ac:dyDescent="0.35">
      <c r="J89"/>
    </row>
    <row r="90" spans="10:10" x14ac:dyDescent="0.35">
      <c r="J90"/>
    </row>
    <row r="91" spans="10:10" x14ac:dyDescent="0.35">
      <c r="J91"/>
    </row>
    <row r="92" spans="10:10" x14ac:dyDescent="0.35">
      <c r="J92"/>
    </row>
    <row r="93" spans="10:10" x14ac:dyDescent="0.35">
      <c r="J93"/>
    </row>
    <row r="94" spans="10:10" x14ac:dyDescent="0.35">
      <c r="J94"/>
    </row>
    <row r="95" spans="10:10" x14ac:dyDescent="0.35">
      <c r="J95"/>
    </row>
    <row r="96" spans="10:10" x14ac:dyDescent="0.35">
      <c r="J96"/>
    </row>
    <row r="97" spans="10:10" x14ac:dyDescent="0.35">
      <c r="J97"/>
    </row>
    <row r="98" spans="10:10" x14ac:dyDescent="0.35">
      <c r="J98"/>
    </row>
    <row r="99" spans="10:10" x14ac:dyDescent="0.35">
      <c r="J99"/>
    </row>
    <row r="100" spans="10:10" x14ac:dyDescent="0.35">
      <c r="J100"/>
    </row>
    <row r="101" spans="10:10" x14ac:dyDescent="0.35">
      <c r="J101"/>
    </row>
    <row r="102" spans="10:10" x14ac:dyDescent="0.35">
      <c r="J102"/>
    </row>
    <row r="103" spans="10:10" x14ac:dyDescent="0.35">
      <c r="J103"/>
    </row>
    <row r="104" spans="10:10" x14ac:dyDescent="0.35">
      <c r="J104"/>
    </row>
    <row r="105" spans="10:10" x14ac:dyDescent="0.35">
      <c r="J105"/>
    </row>
    <row r="106" spans="10:10" x14ac:dyDescent="0.35">
      <c r="J106"/>
    </row>
    <row r="107" spans="10:10" x14ac:dyDescent="0.35">
      <c r="J107"/>
    </row>
    <row r="108" spans="10:10" x14ac:dyDescent="0.35">
      <c r="J108"/>
    </row>
    <row r="109" spans="10:10" x14ac:dyDescent="0.35">
      <c r="J109"/>
    </row>
    <row r="110" spans="10:10" x14ac:dyDescent="0.35">
      <c r="J110"/>
    </row>
    <row r="111" spans="10:10" x14ac:dyDescent="0.35">
      <c r="J111"/>
    </row>
    <row r="112" spans="10:10" x14ac:dyDescent="0.35">
      <c r="J112"/>
    </row>
    <row r="113" spans="10:10" x14ac:dyDescent="0.35">
      <c r="J113"/>
    </row>
    <row r="114" spans="10:10" x14ac:dyDescent="0.35">
      <c r="J114"/>
    </row>
    <row r="115" spans="10:10" x14ac:dyDescent="0.35">
      <c r="J115"/>
    </row>
    <row r="116" spans="10:10" x14ac:dyDescent="0.35">
      <c r="J116"/>
    </row>
    <row r="117" spans="10:10" x14ac:dyDescent="0.35">
      <c r="J117"/>
    </row>
    <row r="118" spans="10:10" x14ac:dyDescent="0.35">
      <c r="J118"/>
    </row>
    <row r="119" spans="10:10" x14ac:dyDescent="0.35">
      <c r="J119"/>
    </row>
    <row r="120" spans="10:10" x14ac:dyDescent="0.35">
      <c r="J120"/>
    </row>
    <row r="121" spans="10:10" x14ac:dyDescent="0.35">
      <c r="J121"/>
    </row>
    <row r="122" spans="10:10" x14ac:dyDescent="0.35">
      <c r="J122"/>
    </row>
    <row r="123" spans="10:10" x14ac:dyDescent="0.35">
      <c r="J123"/>
    </row>
    <row r="124" spans="10:10" x14ac:dyDescent="0.35">
      <c r="J124"/>
    </row>
    <row r="125" spans="10:10" x14ac:dyDescent="0.35">
      <c r="J125"/>
    </row>
    <row r="126" spans="10:10" x14ac:dyDescent="0.35">
      <c r="J126"/>
    </row>
    <row r="127" spans="10:10" x14ac:dyDescent="0.35">
      <c r="J127"/>
    </row>
    <row r="128" spans="10:10" x14ac:dyDescent="0.35">
      <c r="J128"/>
    </row>
    <row r="129" spans="10:10" x14ac:dyDescent="0.35">
      <c r="J129"/>
    </row>
    <row r="130" spans="10:10" x14ac:dyDescent="0.35">
      <c r="J130"/>
    </row>
    <row r="131" spans="10:10" x14ac:dyDescent="0.35">
      <c r="J131"/>
    </row>
    <row r="132" spans="10:10" x14ac:dyDescent="0.35">
      <c r="J132"/>
    </row>
    <row r="133" spans="10:10" x14ac:dyDescent="0.35">
      <c r="J133"/>
    </row>
    <row r="134" spans="10:10" x14ac:dyDescent="0.35">
      <c r="J134"/>
    </row>
    <row r="135" spans="10:10" x14ac:dyDescent="0.35">
      <c r="J135"/>
    </row>
    <row r="136" spans="10:10" x14ac:dyDescent="0.35">
      <c r="J136"/>
    </row>
    <row r="137" spans="10:10" x14ac:dyDescent="0.35">
      <c r="J137"/>
    </row>
    <row r="138" spans="10:10" x14ac:dyDescent="0.35">
      <c r="J138"/>
    </row>
    <row r="139" spans="10:10" x14ac:dyDescent="0.35">
      <c r="J139"/>
    </row>
    <row r="140" spans="10:10" x14ac:dyDescent="0.35">
      <c r="J140"/>
    </row>
    <row r="141" spans="10:10" x14ac:dyDescent="0.35">
      <c r="J141"/>
    </row>
    <row r="142" spans="10:10" x14ac:dyDescent="0.35">
      <c r="J142"/>
    </row>
  </sheetData>
  <sheetProtection formatCells="0" formatColumns="0" formatRows="0" sort="0" autoFilter="0" pivotTables="0"/>
  <autoFilter ref="C10:M36" xr:uid="{00000000-0001-0000-0400-000000000000}"/>
  <mergeCells count="3">
    <mergeCell ref="K1:O1"/>
    <mergeCell ref="K2:O2"/>
    <mergeCell ref="C42:E42"/>
  </mergeCells>
  <conditionalFormatting sqref="F11:F12">
    <cfRule type="cellIs" dxfId="21" priority="231" operator="greaterThanOrEqual">
      <formula>1</formula>
    </cfRule>
    <cfRule type="cellIs" dxfId="20" priority="232" operator="equal">
      <formula>0</formula>
    </cfRule>
  </conditionalFormatting>
  <conditionalFormatting sqref="F16">
    <cfRule type="cellIs" dxfId="19" priority="95" operator="greaterThanOrEqual">
      <formula>1</formula>
    </cfRule>
    <cfRule type="cellIs" dxfId="18" priority="96" operator="equal">
      <formula>0</formula>
    </cfRule>
  </conditionalFormatting>
  <conditionalFormatting sqref="F19:F20">
    <cfRule type="cellIs" dxfId="17" priority="91" operator="greaterThanOrEqual">
      <formula>1</formula>
    </cfRule>
    <cfRule type="cellIs" dxfId="16" priority="92" operator="equal">
      <formula>0</formula>
    </cfRule>
  </conditionalFormatting>
  <conditionalFormatting sqref="F23:F40">
    <cfRule type="cellIs" dxfId="15" priority="444" operator="greaterThanOrEqual">
      <formula>1</formula>
    </cfRule>
    <cfRule type="cellIs" dxfId="14" priority="445" operator="equal">
      <formula>0</formula>
    </cfRule>
  </conditionalFormatting>
  <conditionalFormatting sqref="F42">
    <cfRule type="cellIs" dxfId="13" priority="437" operator="greaterThanOrEqual">
      <formula>1</formula>
    </cfRule>
    <cfRule type="cellIs" dxfId="12" priority="438" operator="equal">
      <formula>0</formula>
    </cfRule>
  </conditionalFormatting>
  <conditionalFormatting sqref="J16 J19 J25:J40">
    <cfRule type="cellIs" dxfId="11" priority="5" operator="notBetween">
      <formula>100</formula>
      <formula>-100</formula>
    </cfRule>
    <cfRule type="cellIs" dxfId="10" priority="6" operator="between">
      <formula>100</formula>
      <formula>-100</formula>
    </cfRule>
  </conditionalFormatting>
  <conditionalFormatting sqref="J23:J24">
    <cfRule type="cellIs" dxfId="9" priority="1" operator="greaterThan">
      <formula>0</formula>
    </cfRule>
    <cfRule type="cellIs" dxfId="8" priority="2" operator="equal">
      <formula>0</formula>
    </cfRule>
  </conditionalFormatting>
  <conditionalFormatting sqref="J42:ZZ42">
    <cfRule type="notContainsBlanks" dxfId="7" priority="439">
      <formula>LEN(TRIM(J42))&gt;0</formula>
    </cfRule>
  </conditionalFormatting>
  <conditionalFormatting sqref="BB43:VX43">
    <cfRule type="notContainsBlanks" dxfId="6" priority="446">
      <formula>LEN(TRIM(BB43))&gt;0</formula>
    </cfRule>
  </conditionalFormatting>
  <hyperlinks>
    <hyperlink ref="C27" location="'Capex Transfer'!A1" display="V11006" xr:uid="{DB10AD47-6F4A-41F1-ADAC-F2FF967F016B}"/>
    <hyperlink ref="C25" location="'RP Payable'!A1" display="V11007" xr:uid="{A3D940B8-AF12-4F22-B1F4-E4F771FE97AC}"/>
    <hyperlink ref="C26" location="'RP Receivable'!A1" display="V11008" xr:uid="{B56107BF-0011-455E-ACBE-BD5851695B37}"/>
    <hyperlink ref="C28" location="'Accum Dep'!A1" display="V110011" xr:uid="{5A0A86A7-92C5-4878-8EAE-9B7A608ABD1F}"/>
    <hyperlink ref="C29" location="'Provision Inventory'!A1" display="V110012" xr:uid="{B8674CEF-FCCC-430F-A9D6-4AD2AC9E30D2}"/>
    <hyperlink ref="C30" location="'Provision Receivable'!A1" display="V110013" xr:uid="{9CEA635C-676D-4109-9943-24F876110B62}"/>
    <hyperlink ref="C31" location="'Investment in Subs'!A1" display="V110014" xr:uid="{32995356-B094-4368-BCC5-3E2C73E9FAD9}"/>
    <hyperlink ref="C32" location="'Prov Invst Movement'!A1" display="V110015" xr:uid="{A4150C18-C8FA-4044-83A0-D936925D83E4}"/>
    <hyperlink ref="C33" location="'Negative Revenue'!A1" display="V110016" xr:uid="{A0F71A7F-6530-4547-8B27-1C55BD811AC2}"/>
    <hyperlink ref="C35" location="'Capex Addition'!A1" display="V110019" xr:uid="{A36E80F2-AE0D-4678-AA9C-8CBB97A512E0}"/>
    <hyperlink ref="C36" location="'Capex Disposal'!A1" display="V110021" xr:uid="{A0298391-9FB5-423D-B1CC-C24BFD033851}"/>
    <hyperlink ref="C37" location="'Customer Balance'!A1" display="V110023" xr:uid="{C241C78C-89CA-48F0-AEE0-D11E71CF387F}"/>
    <hyperlink ref="C38" location="'Vendor Balance'!A1" display="V110024" xr:uid="{1522C779-716B-4B98-85CC-137C861A492E}"/>
    <hyperlink ref="C39" location="Reserves!A1" display="V110026" xr:uid="{DF03BC8C-E80F-4747-8663-5697122C89DC}"/>
    <hyperlink ref="C23" location="'Missing Seller %'!A1" display="V11006" xr:uid="{041924EC-B9A7-42B0-A45F-01492975B9E4}"/>
    <hyperlink ref="C24" location="'Missing Buyer %'!A1" display="V11007" xr:uid="{2708DF10-B0D5-4BD4-AECB-AC13182F4CEC}"/>
    <hyperlink ref="C34" location="'Dividend Inc'!A1" display="V110017" xr:uid="{181FA9D1-FE17-4E0F-BF03-1C96EFE3A30A}"/>
    <hyperlink ref="C40" location="'Fin. &amp; COE Cost'!A1" display="V110022" xr:uid="{89F1EA5C-EE53-42DE-83AC-8DECE4342250}"/>
  </hyperlinks>
  <pageMargins left="0.7" right="0.7" top="0.75" bottom="0.75" header="0.3" footer="0.3"/>
  <pageSetup paperSize="9" orientation="portrait" r:id="rId1"/>
  <headerFooter>
    <oddFooter>&amp;C_x000D_&amp;1#&amp;"Calibri"&amp;10&amp;K000000 Restricted : General Al-Futtaim Group</oddFooter>
  </headerFooter>
  <customProperties>
    <customPr name="_pios_id" r:id="rId2"/>
    <customPr name="EpmWorksheetKeyString_GUID" r:id="rId3"/>
    <customPr name="FPMExcelClientCellBasedFunctionStatus" r:id="rId4"/>
    <customPr name="FPMExcelClientRefreshTime" r:id="rId5"/>
  </customProperties>
  <drawing r:id="rId6"/>
  <legacyDrawing r:id="rId7"/>
  <controls>
    <mc:AlternateContent xmlns:mc="http://schemas.openxmlformats.org/markup-compatibility/2006">
      <mc:Choice Requires="x14">
        <control shapeId="221191" r:id="rId8" name="CustomMemberDispatchertb1">
          <controlPr defaultSize="0" autoLine="0" autoPict="0" r:id="rId9">
            <anchor moveWithCells="1" sizeWithCells="1">
              <from>
                <xdr:col>0</xdr:col>
                <xdr:colOff>0</xdr:colOff>
                <xdr:row>0</xdr:row>
                <xdr:rowOff>0</xdr:rowOff>
              </from>
              <to>
                <xdr:col>2</xdr:col>
                <xdr:colOff>190500</xdr:colOff>
                <xdr:row>0</xdr:row>
                <xdr:rowOff>0</xdr:rowOff>
              </to>
            </anchor>
          </controlPr>
        </control>
      </mc:Choice>
      <mc:Fallback>
        <control shapeId="221191" r:id="rId8" name="CustomMemberDispatchertb1"/>
      </mc:Fallback>
    </mc:AlternateContent>
    <mc:AlternateContent xmlns:mc="http://schemas.openxmlformats.org/markup-compatibility/2006">
      <mc:Choice Requires="x14">
        <control shapeId="221190" r:id="rId10" name="AnalyzerDynReport000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21190" r:id="rId10" name="AnalyzerDynReport000tb1"/>
      </mc:Fallback>
    </mc:AlternateContent>
    <mc:AlternateContent xmlns:mc="http://schemas.openxmlformats.org/markup-compatibility/2006">
      <mc:Choice Requires="x14">
        <control shapeId="221189" r:id="rId12" name="ReportSubmitControl_1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21189" r:id="rId12" name="ReportSubmitControl_1tb1"/>
      </mc:Fallback>
    </mc:AlternateContent>
    <mc:AlternateContent xmlns:mc="http://schemas.openxmlformats.org/markup-compatibility/2006">
      <mc:Choice Requires="x14">
        <control shapeId="221188" r:id="rId13" name="ReportSubmitManagerControl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21188" r:id="rId13" name="ReportSubmitManagerControltb1"/>
      </mc:Fallback>
    </mc:AlternateContent>
    <mc:AlternateContent xmlns:mc="http://schemas.openxmlformats.org/markup-compatibility/2006">
      <mc:Choice Requires="x14">
        <control shapeId="221187" r:id="rId14" name="ConnectionDescriptorsInfo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21187" r:id="rId14" name="ConnectionDescriptorsInfotb1"/>
      </mc:Fallback>
    </mc:AlternateContent>
    <mc:AlternateContent xmlns:mc="http://schemas.openxmlformats.org/markup-compatibility/2006">
      <mc:Choice Requires="x14">
        <control shapeId="221186" r:id="rId15" name="MultipleReportManagerInfotb1">
          <controlPr defaultSize="0" autoLine="0" autoPict="0" r:id="rId11">
            <anchor moveWithCells="1" sizeWithCells="1">
              <from>
                <xdr:col>0</xdr:col>
                <xdr:colOff>0</xdr:colOff>
                <xdr:row>0</xdr:row>
                <xdr:rowOff>0</xdr:rowOff>
              </from>
              <to>
                <xdr:col>3</xdr:col>
                <xdr:colOff>374650</xdr:colOff>
                <xdr:row>0</xdr:row>
                <xdr:rowOff>0</xdr:rowOff>
              </to>
            </anchor>
          </controlPr>
        </control>
      </mc:Choice>
      <mc:Fallback>
        <control shapeId="221186" r:id="rId15" name="MultipleReportManagerInfotb1"/>
      </mc:Fallback>
    </mc:AlternateContent>
    <mc:AlternateContent xmlns:mc="http://schemas.openxmlformats.org/markup-compatibility/2006">
      <mc:Choice Requires="x14">
        <control shapeId="221185" r:id="rId16" name="FPMExcelClientSheetOptionstb1">
          <controlPr defaultSize="0" autoLine="0" r:id="rId17">
            <anchor moveWithCells="1" sizeWithCells="1">
              <from>
                <xdr:col>0</xdr:col>
                <xdr:colOff>0</xdr:colOff>
                <xdr:row>0</xdr:row>
                <xdr:rowOff>0</xdr:rowOff>
              </from>
              <to>
                <xdr:col>0</xdr:col>
                <xdr:colOff>0</xdr:colOff>
                <xdr:row>0</xdr:row>
                <xdr:rowOff>12700</xdr:rowOff>
              </to>
            </anchor>
          </controlPr>
        </control>
      </mc:Choice>
      <mc:Fallback>
        <control shapeId="221185" r:id="rId16" name="FPMExcelClientSheetOptions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E5411-EC0B-414E-926A-F532998530A4}">
  <sheetPr codeName="Sheet14"/>
  <dimension ref="A1:AU1378"/>
  <sheetViews>
    <sheetView showGridLines="0" topLeftCell="E14" zoomScale="80" zoomScaleNormal="80" workbookViewId="0">
      <selection activeCell="H28" sqref="H28"/>
    </sheetView>
  </sheetViews>
  <sheetFormatPr defaultRowHeight="14.5" outlineLevelRow="1" outlineLevelCol="1" x14ac:dyDescent="0.35"/>
  <cols>
    <col min="1" max="1" width="19.54296875" hidden="1" customWidth="1" outlineLevel="1"/>
    <col min="2" max="2" width="6.453125" hidden="1" customWidth="1" outlineLevel="1"/>
    <col min="3" max="4" width="4.7265625" hidden="1" customWidth="1" outlineLevel="1"/>
    <col min="5" max="5" width="19.26953125" customWidth="1" collapsed="1"/>
    <col min="6" max="6" width="4.7265625" hidden="1" customWidth="1"/>
    <col min="7" max="7" width="7.1796875" hidden="1" customWidth="1"/>
    <col min="8" max="8" width="31.453125" bestFit="1" customWidth="1"/>
    <col min="9" max="9" width="30.7265625" bestFit="1" customWidth="1"/>
    <col min="10" max="10" width="15.81640625" bestFit="1" customWidth="1"/>
    <col min="11" max="11" width="36.36328125" customWidth="1"/>
    <col min="12" max="12" width="18" customWidth="1"/>
    <col min="13" max="13" width="11.54296875" bestFit="1" customWidth="1"/>
    <col min="14" max="14" width="13.7265625" style="50" bestFit="1" customWidth="1"/>
    <col min="15" max="15" width="20.26953125" style="50" bestFit="1" customWidth="1"/>
    <col min="16" max="16" width="10.54296875" bestFit="1" customWidth="1"/>
    <col min="17" max="17" width="10.54296875" style="2" bestFit="1" customWidth="1"/>
    <col min="18" max="21" width="10.54296875" bestFit="1" customWidth="1"/>
    <col min="22" max="29" width="15.81640625" bestFit="1" customWidth="1"/>
    <col min="30" max="37" width="17" bestFit="1" customWidth="1"/>
    <col min="38" max="38" width="10.1796875" hidden="1" customWidth="1" outlineLevel="1"/>
    <col min="39" max="39" width="10" hidden="1" customWidth="1" outlineLevel="1"/>
    <col min="40" max="44" width="10.54296875" hidden="1" customWidth="1" outlineLevel="1"/>
    <col min="45" max="45" width="10.54296875" bestFit="1" customWidth="1" collapsed="1"/>
    <col min="46" max="53" width="15.81640625" bestFit="1" customWidth="1"/>
    <col min="54" max="61" width="17" bestFit="1" customWidth="1"/>
    <col min="62" max="62" width="10.1796875" bestFit="1" customWidth="1"/>
    <col min="63" max="63" width="10" bestFit="1" customWidth="1"/>
    <col min="64" max="69" width="10.54296875" bestFit="1" customWidth="1"/>
    <col min="70" max="70" width="10.1796875" bestFit="1" customWidth="1"/>
    <col min="71" max="71" width="10" bestFit="1" customWidth="1"/>
    <col min="72" max="77" width="10.54296875" bestFit="1" customWidth="1"/>
    <col min="78" max="78" width="10.1796875" bestFit="1" customWidth="1"/>
    <col min="79" max="79" width="10" bestFit="1" customWidth="1"/>
    <col min="80" max="85" width="10.54296875" bestFit="1" customWidth="1"/>
    <col min="86" max="93" width="15.81640625" bestFit="1" customWidth="1"/>
    <col min="94" max="101" width="17" bestFit="1" customWidth="1"/>
    <col min="102" max="102" width="10.1796875" bestFit="1" customWidth="1"/>
    <col min="103" max="103" width="10" bestFit="1" customWidth="1"/>
    <col min="104" max="109" width="10.54296875" bestFit="1" customWidth="1"/>
    <col min="110" max="117" width="15.81640625" bestFit="1" customWidth="1"/>
    <col min="118" max="125" width="17" bestFit="1" customWidth="1"/>
    <col min="126" max="126" width="10.1796875" bestFit="1" customWidth="1"/>
    <col min="127" max="127" width="10" bestFit="1" customWidth="1"/>
    <col min="128" max="133" width="10.54296875" bestFit="1" customWidth="1"/>
    <col min="134" max="134" width="10.1796875" bestFit="1" customWidth="1"/>
    <col min="135" max="135" width="10" bestFit="1" customWidth="1"/>
    <col min="136" max="141" width="10.54296875" bestFit="1" customWidth="1"/>
    <col min="142" max="142" width="10.1796875" bestFit="1" customWidth="1"/>
    <col min="143" max="143" width="10" bestFit="1" customWidth="1"/>
    <col min="144" max="149" width="10.54296875" bestFit="1" customWidth="1"/>
    <col min="150" max="157" width="15.81640625" bestFit="1" customWidth="1"/>
    <col min="158" max="165" width="17" bestFit="1" customWidth="1"/>
    <col min="166" max="166" width="10.1796875" bestFit="1" customWidth="1"/>
    <col min="167" max="167" width="10" bestFit="1" customWidth="1"/>
    <col min="168" max="173" width="10.54296875" bestFit="1" customWidth="1"/>
    <col min="174" max="181" width="15.81640625" bestFit="1" customWidth="1"/>
    <col min="182" max="189" width="17" bestFit="1" customWidth="1"/>
    <col min="190" max="190" width="10.1796875" bestFit="1" customWidth="1"/>
    <col min="191" max="191" width="10" bestFit="1" customWidth="1"/>
    <col min="192" max="197" width="10.54296875" bestFit="1" customWidth="1"/>
    <col min="198" max="198" width="10.1796875" bestFit="1" customWidth="1"/>
    <col min="199" max="199" width="10" bestFit="1" customWidth="1"/>
    <col min="200" max="205" width="10.54296875" bestFit="1" customWidth="1"/>
    <col min="206" max="206" width="10.1796875" bestFit="1" customWidth="1"/>
    <col min="207" max="207" width="10" bestFit="1" customWidth="1"/>
    <col min="208" max="213" width="10.54296875" bestFit="1" customWidth="1"/>
    <col min="214" max="221" width="15.81640625" bestFit="1" customWidth="1"/>
    <col min="222" max="229" width="17" bestFit="1" customWidth="1"/>
    <col min="230" max="230" width="10.1796875" bestFit="1" customWidth="1"/>
    <col min="231" max="231" width="10" bestFit="1" customWidth="1"/>
    <col min="232" max="237" width="10.54296875" bestFit="1" customWidth="1"/>
    <col min="238" max="245" width="15.81640625" bestFit="1" customWidth="1"/>
    <col min="246" max="253" width="17" bestFit="1" customWidth="1"/>
    <col min="254" max="254" width="10.1796875" bestFit="1" customWidth="1"/>
    <col min="255" max="255" width="10" bestFit="1" customWidth="1"/>
    <col min="256" max="261" width="10.54296875" bestFit="1" customWidth="1"/>
    <col min="262" max="262" width="10.1796875" bestFit="1" customWidth="1"/>
    <col min="263" max="263" width="10" bestFit="1" customWidth="1"/>
    <col min="264" max="269" width="10.54296875" bestFit="1" customWidth="1"/>
    <col min="270" max="270" width="10.1796875" bestFit="1" customWidth="1"/>
    <col min="271" max="271" width="10" bestFit="1" customWidth="1"/>
    <col min="272" max="277" width="10.54296875" bestFit="1" customWidth="1"/>
    <col min="278" max="285" width="15.81640625" bestFit="1" customWidth="1"/>
    <col min="286" max="293" width="17" bestFit="1" customWidth="1"/>
    <col min="294" max="294" width="10.1796875" bestFit="1" customWidth="1"/>
    <col min="295" max="295" width="10" bestFit="1" customWidth="1"/>
    <col min="296" max="301" width="10.54296875" bestFit="1" customWidth="1"/>
    <col min="302" max="309" width="15.81640625" bestFit="1" customWidth="1"/>
    <col min="310" max="317" width="17" bestFit="1" customWidth="1"/>
    <col min="318" max="318" width="10.1796875" bestFit="1" customWidth="1"/>
    <col min="319" max="319" width="10" bestFit="1" customWidth="1"/>
    <col min="320" max="325" width="10.54296875" bestFit="1" customWidth="1"/>
    <col min="326" max="326" width="10.1796875" bestFit="1" customWidth="1"/>
    <col min="327" max="327" width="10" bestFit="1" customWidth="1"/>
    <col min="328" max="333" width="10.54296875" bestFit="1" customWidth="1"/>
    <col min="334" max="334" width="10.1796875" bestFit="1" customWidth="1"/>
    <col min="335" max="335" width="10" bestFit="1" customWidth="1"/>
    <col min="336" max="341" width="10.54296875" bestFit="1" customWidth="1"/>
    <col min="342" max="349" width="15.81640625" bestFit="1" customWidth="1"/>
    <col min="350" max="357" width="17" bestFit="1" customWidth="1"/>
    <col min="358" max="358" width="10.1796875" bestFit="1" customWidth="1"/>
    <col min="359" max="359" width="10" bestFit="1" customWidth="1"/>
    <col min="360" max="365" width="10.54296875" bestFit="1" customWidth="1"/>
    <col min="366" max="373" width="15.81640625" bestFit="1" customWidth="1"/>
    <col min="374" max="381" width="17" bestFit="1" customWidth="1"/>
    <col min="382" max="382" width="10.1796875" bestFit="1" customWidth="1"/>
    <col min="383" max="383" width="10" bestFit="1" customWidth="1"/>
    <col min="384" max="389" width="10.54296875" bestFit="1" customWidth="1"/>
    <col min="390" max="390" width="10.1796875" bestFit="1" customWidth="1"/>
    <col min="391" max="391" width="10" bestFit="1" customWidth="1"/>
    <col min="392" max="397" width="10.54296875" bestFit="1" customWidth="1"/>
    <col min="398" max="398" width="10.1796875" bestFit="1" customWidth="1"/>
    <col min="399" max="399" width="10" bestFit="1" customWidth="1"/>
    <col min="400" max="405" width="10.54296875" bestFit="1" customWidth="1"/>
    <col min="406" max="413" width="15.81640625" bestFit="1" customWidth="1"/>
    <col min="414" max="421" width="17" bestFit="1" customWidth="1"/>
    <col min="422" max="422" width="10.1796875" bestFit="1" customWidth="1"/>
    <col min="423" max="423" width="10" bestFit="1" customWidth="1"/>
    <col min="424" max="429" width="10.54296875" bestFit="1" customWidth="1"/>
    <col min="430" max="437" width="15.81640625" bestFit="1" customWidth="1"/>
    <col min="438" max="445" width="17" bestFit="1" customWidth="1"/>
    <col min="446" max="446" width="10.1796875" bestFit="1" customWidth="1"/>
    <col min="447" max="447" width="10" bestFit="1" customWidth="1"/>
    <col min="448" max="453" width="10.54296875" bestFit="1" customWidth="1"/>
    <col min="454" max="454" width="10.1796875" bestFit="1" customWidth="1"/>
    <col min="455" max="455" width="10" bestFit="1" customWidth="1"/>
    <col min="456" max="461" width="10.54296875" bestFit="1" customWidth="1"/>
    <col min="462" max="462" width="10.1796875" bestFit="1" customWidth="1"/>
    <col min="463" max="463" width="10" bestFit="1" customWidth="1"/>
    <col min="464" max="469" width="10.54296875" bestFit="1" customWidth="1"/>
    <col min="470" max="477" width="15.81640625" bestFit="1" customWidth="1"/>
    <col min="478" max="485" width="17" bestFit="1" customWidth="1"/>
    <col min="486" max="486" width="10.1796875" bestFit="1" customWidth="1"/>
    <col min="487" max="487" width="10" bestFit="1" customWidth="1"/>
    <col min="488" max="493" width="10.54296875" bestFit="1" customWidth="1"/>
    <col min="494" max="501" width="15.81640625" bestFit="1" customWidth="1"/>
    <col min="502" max="509" width="17" bestFit="1" customWidth="1"/>
    <col min="510" max="510" width="10.1796875" bestFit="1" customWidth="1"/>
    <col min="511" max="511" width="10" bestFit="1" customWidth="1"/>
    <col min="512" max="517" width="10.54296875" bestFit="1" customWidth="1"/>
    <col min="518" max="518" width="10.1796875" bestFit="1" customWidth="1"/>
    <col min="519" max="519" width="10" bestFit="1" customWidth="1"/>
    <col min="520" max="525" width="10.54296875" bestFit="1" customWidth="1"/>
    <col min="526" max="526" width="10.1796875" bestFit="1" customWidth="1"/>
    <col min="527" max="527" width="10" bestFit="1" customWidth="1"/>
    <col min="528" max="533" width="10.54296875" bestFit="1" customWidth="1"/>
    <col min="534" max="541" width="15.81640625" bestFit="1" customWidth="1"/>
    <col min="542" max="549" width="17" bestFit="1" customWidth="1"/>
    <col min="550" max="550" width="10.1796875" bestFit="1" customWidth="1"/>
    <col min="551" max="551" width="10" bestFit="1" customWidth="1"/>
    <col min="552" max="557" width="10.54296875" bestFit="1" customWidth="1"/>
    <col min="558" max="565" width="15.81640625" bestFit="1" customWidth="1"/>
    <col min="566" max="573" width="17" bestFit="1" customWidth="1"/>
    <col min="574" max="574" width="10.1796875" bestFit="1" customWidth="1"/>
    <col min="575" max="575" width="10" bestFit="1" customWidth="1"/>
    <col min="576" max="581" width="10.54296875" bestFit="1" customWidth="1"/>
    <col min="582" max="582" width="10.1796875" bestFit="1" customWidth="1"/>
    <col min="583" max="583" width="10" bestFit="1" customWidth="1"/>
    <col min="584" max="589" width="10.54296875" bestFit="1" customWidth="1"/>
    <col min="590" max="590" width="10.1796875" bestFit="1" customWidth="1"/>
    <col min="591" max="591" width="10" bestFit="1" customWidth="1"/>
    <col min="592" max="597" width="10.54296875" bestFit="1" customWidth="1"/>
    <col min="598" max="605" width="15.81640625" bestFit="1" customWidth="1"/>
    <col min="606" max="613" width="17" bestFit="1" customWidth="1"/>
    <col min="614" max="614" width="10.1796875" bestFit="1" customWidth="1"/>
    <col min="615" max="615" width="10" bestFit="1" customWidth="1"/>
    <col min="616" max="621" width="10.54296875" bestFit="1" customWidth="1"/>
    <col min="622" max="629" width="15.81640625" bestFit="1" customWidth="1"/>
    <col min="630" max="637" width="17" bestFit="1" customWidth="1"/>
    <col min="638" max="638" width="10.1796875" bestFit="1" customWidth="1"/>
    <col min="639" max="639" width="10" bestFit="1" customWidth="1"/>
    <col min="640" max="645" width="10.54296875" bestFit="1" customWidth="1"/>
    <col min="646" max="646" width="10.1796875" bestFit="1" customWidth="1"/>
    <col min="647" max="647" width="10" bestFit="1" customWidth="1"/>
    <col min="648" max="653" width="10.54296875" bestFit="1" customWidth="1"/>
    <col min="654" max="654" width="10.1796875" bestFit="1" customWidth="1"/>
    <col min="655" max="655" width="10" bestFit="1" customWidth="1"/>
    <col min="656" max="661" width="10.54296875" bestFit="1" customWidth="1"/>
    <col min="662" max="669" width="15.81640625" bestFit="1" customWidth="1"/>
    <col min="670" max="677" width="17" bestFit="1" customWidth="1"/>
    <col min="678" max="678" width="10.1796875" bestFit="1" customWidth="1"/>
    <col min="679" max="679" width="10" bestFit="1" customWidth="1"/>
    <col min="680" max="685" width="10.54296875" bestFit="1" customWidth="1"/>
    <col min="686" max="693" width="15.81640625" bestFit="1" customWidth="1"/>
    <col min="694" max="701" width="17" bestFit="1" customWidth="1"/>
    <col min="702" max="702" width="10.1796875" bestFit="1" customWidth="1"/>
    <col min="703" max="703" width="10" bestFit="1" customWidth="1"/>
    <col min="704" max="709" width="10.54296875" bestFit="1" customWidth="1"/>
    <col min="710" max="710" width="10.1796875" bestFit="1" customWidth="1"/>
    <col min="711" max="711" width="10" bestFit="1" customWidth="1"/>
    <col min="712" max="717" width="10.54296875" bestFit="1" customWidth="1"/>
    <col min="718" max="718" width="10.1796875" bestFit="1" customWidth="1"/>
    <col min="719" max="719" width="10" bestFit="1" customWidth="1"/>
    <col min="720" max="725" width="10.54296875" bestFit="1" customWidth="1"/>
    <col min="726" max="733" width="15.81640625" bestFit="1" customWidth="1"/>
    <col min="734" max="741" width="17" bestFit="1" customWidth="1"/>
    <col min="742" max="742" width="10.1796875" bestFit="1" customWidth="1"/>
    <col min="743" max="743" width="10" bestFit="1" customWidth="1"/>
    <col min="744" max="749" width="10.54296875" bestFit="1" customWidth="1"/>
    <col min="750" max="757" width="15.81640625" bestFit="1" customWidth="1"/>
    <col min="758" max="765" width="17" bestFit="1" customWidth="1"/>
    <col min="766" max="766" width="10.1796875" bestFit="1" customWidth="1"/>
    <col min="767" max="767" width="10" bestFit="1" customWidth="1"/>
    <col min="768" max="773" width="10.54296875" bestFit="1" customWidth="1"/>
    <col min="774" max="774" width="10.1796875" bestFit="1" customWidth="1"/>
    <col min="775" max="775" width="10" bestFit="1" customWidth="1"/>
    <col min="776" max="781" width="10.54296875" bestFit="1" customWidth="1"/>
    <col min="782" max="782" width="10.1796875" bestFit="1" customWidth="1"/>
    <col min="783" max="783" width="10" bestFit="1" customWidth="1"/>
    <col min="784" max="789" width="10.54296875" bestFit="1" customWidth="1"/>
    <col min="790" max="797" width="15.81640625" bestFit="1" customWidth="1"/>
    <col min="798" max="805" width="17" bestFit="1" customWidth="1"/>
    <col min="806" max="806" width="10.1796875" bestFit="1" customWidth="1"/>
    <col min="807" max="807" width="10" bestFit="1" customWidth="1"/>
    <col min="808" max="813" width="10.54296875" bestFit="1" customWidth="1"/>
    <col min="814" max="821" width="15.81640625" bestFit="1" customWidth="1"/>
    <col min="822" max="829" width="17" bestFit="1" customWidth="1"/>
    <col min="830" max="830" width="10.1796875" bestFit="1" customWidth="1"/>
    <col min="831" max="831" width="10" bestFit="1" customWidth="1"/>
    <col min="832" max="837" width="10.54296875" bestFit="1" customWidth="1"/>
    <col min="838" max="838" width="10.1796875" bestFit="1" customWidth="1"/>
    <col min="839" max="839" width="10" bestFit="1" customWidth="1"/>
    <col min="840" max="845" width="10.54296875" bestFit="1" customWidth="1"/>
    <col min="846" max="846" width="10.1796875" bestFit="1" customWidth="1"/>
    <col min="847" max="847" width="10" bestFit="1" customWidth="1"/>
    <col min="848" max="853" width="10.54296875" bestFit="1" customWidth="1"/>
    <col min="854" max="861" width="15.81640625" bestFit="1" customWidth="1"/>
    <col min="862" max="869" width="17" bestFit="1" customWidth="1"/>
    <col min="870" max="870" width="10.1796875" bestFit="1" customWidth="1"/>
    <col min="871" max="871" width="10" bestFit="1" customWidth="1"/>
    <col min="872" max="877" width="10.54296875" bestFit="1" customWidth="1"/>
    <col min="878" max="885" width="15.81640625" bestFit="1" customWidth="1"/>
    <col min="886" max="893" width="17" bestFit="1" customWidth="1"/>
    <col min="894" max="894" width="10.1796875" bestFit="1" customWidth="1"/>
    <col min="895" max="895" width="10" bestFit="1" customWidth="1"/>
    <col min="896" max="901" width="10.54296875" bestFit="1" customWidth="1"/>
    <col min="902" max="902" width="10.1796875" bestFit="1" customWidth="1"/>
    <col min="903" max="903" width="10" bestFit="1" customWidth="1"/>
    <col min="904" max="909" width="10.54296875" bestFit="1" customWidth="1"/>
    <col min="910" max="910" width="10.1796875" bestFit="1" customWidth="1"/>
    <col min="911" max="911" width="10" bestFit="1" customWidth="1"/>
    <col min="912" max="917" width="10.54296875" bestFit="1" customWidth="1"/>
    <col min="918" max="925" width="15.81640625" bestFit="1" customWidth="1"/>
    <col min="926" max="933" width="17" bestFit="1" customWidth="1"/>
    <col min="934" max="934" width="10.1796875" bestFit="1" customWidth="1"/>
    <col min="935" max="935" width="10" bestFit="1" customWidth="1"/>
    <col min="936" max="941" width="10.54296875" bestFit="1" customWidth="1"/>
    <col min="942" max="949" width="15.81640625" bestFit="1" customWidth="1"/>
    <col min="950" max="957" width="17" bestFit="1" customWidth="1"/>
    <col min="958" max="958" width="10.1796875" bestFit="1" customWidth="1"/>
    <col min="959" max="959" width="10" bestFit="1" customWidth="1"/>
    <col min="960" max="965" width="10.54296875" bestFit="1" customWidth="1"/>
    <col min="966" max="966" width="10.1796875" bestFit="1" customWidth="1"/>
    <col min="967" max="967" width="10" bestFit="1" customWidth="1"/>
    <col min="968" max="973" width="10.54296875" bestFit="1" customWidth="1"/>
    <col min="974" max="974" width="10.1796875" bestFit="1" customWidth="1"/>
    <col min="975" max="975" width="10" bestFit="1" customWidth="1"/>
    <col min="976" max="981" width="10.54296875" bestFit="1" customWidth="1"/>
    <col min="982" max="989" width="15.81640625" bestFit="1" customWidth="1"/>
    <col min="990" max="997" width="17" bestFit="1" customWidth="1"/>
    <col min="998" max="998" width="10.1796875" bestFit="1" customWidth="1"/>
    <col min="999" max="999" width="10" bestFit="1" customWidth="1"/>
    <col min="1000" max="1005" width="10.54296875" bestFit="1" customWidth="1"/>
    <col min="1006" max="1013" width="15.81640625" bestFit="1" customWidth="1"/>
    <col min="1014" max="1021" width="17" bestFit="1" customWidth="1"/>
    <col min="1022" max="1022" width="10.1796875" bestFit="1" customWidth="1"/>
    <col min="1023" max="1023" width="10" bestFit="1" customWidth="1"/>
    <col min="1024" max="1029" width="10.54296875" bestFit="1" customWidth="1"/>
    <col min="1030" max="1031" width="11.81640625" bestFit="1" customWidth="1"/>
    <col min="1032" max="1037" width="10.54296875" bestFit="1" customWidth="1"/>
    <col min="1038" max="1039" width="12.453125" bestFit="1" customWidth="1"/>
    <col min="1040" max="1045" width="10.54296875" bestFit="1" customWidth="1"/>
    <col min="1046" max="1053" width="15.81640625" bestFit="1" customWidth="1"/>
    <col min="1054" max="1061" width="17" bestFit="1" customWidth="1"/>
    <col min="1062" max="1063" width="12.453125" bestFit="1" customWidth="1"/>
    <col min="1064" max="1069" width="10.54296875" bestFit="1" customWidth="1"/>
    <col min="1070" max="1077" width="15.81640625" bestFit="1" customWidth="1"/>
    <col min="1078" max="1085" width="17" bestFit="1" customWidth="1"/>
    <col min="1086" max="1087" width="12.453125" bestFit="1" customWidth="1"/>
    <col min="1088" max="1093" width="10.54296875" bestFit="1" customWidth="1"/>
    <col min="1094" max="1095" width="12.453125" bestFit="1" customWidth="1"/>
    <col min="1096" max="1101" width="10.54296875" bestFit="1" customWidth="1"/>
    <col min="1102" max="1103" width="12.453125" bestFit="1" customWidth="1"/>
    <col min="1104" max="1109" width="10.54296875" bestFit="1" customWidth="1"/>
    <col min="1110" max="1117" width="15.81640625" bestFit="1" customWidth="1"/>
    <col min="1118" max="1125" width="17" bestFit="1" customWidth="1"/>
    <col min="1126" max="1127" width="12.453125" bestFit="1" customWidth="1"/>
    <col min="1128" max="1133" width="10.54296875" bestFit="1" customWidth="1"/>
    <col min="1134" max="1141" width="15.81640625" bestFit="1" customWidth="1"/>
    <col min="1142" max="1149" width="17" bestFit="1" customWidth="1"/>
    <col min="1150" max="1151" width="12.453125" bestFit="1" customWidth="1"/>
    <col min="1152" max="1157" width="10.54296875" bestFit="1" customWidth="1"/>
    <col min="1158" max="1159" width="12.453125" bestFit="1" customWidth="1"/>
    <col min="1160" max="1165" width="10.54296875" bestFit="1" customWidth="1"/>
    <col min="1166" max="1167" width="12.453125" bestFit="1" customWidth="1"/>
    <col min="1168" max="1173" width="10.54296875" bestFit="1" customWidth="1"/>
    <col min="1174" max="1181" width="15.81640625" bestFit="1" customWidth="1"/>
    <col min="1182" max="1189" width="17" bestFit="1" customWidth="1"/>
    <col min="1190" max="1191" width="12.453125" bestFit="1" customWidth="1"/>
    <col min="1192" max="1197" width="10.54296875" bestFit="1" customWidth="1"/>
    <col min="1198" max="1205" width="15.81640625" bestFit="1" customWidth="1"/>
    <col min="1206" max="1213" width="17" bestFit="1" customWidth="1"/>
    <col min="1214" max="1215" width="12.453125" bestFit="1" customWidth="1"/>
    <col min="1216" max="1221" width="10.54296875" bestFit="1" customWidth="1"/>
    <col min="1222" max="1223" width="12.453125" bestFit="1" customWidth="1"/>
    <col min="1224" max="1229" width="10.54296875" bestFit="1" customWidth="1"/>
    <col min="1230" max="1231" width="12.453125" bestFit="1" customWidth="1"/>
    <col min="1232" max="1237" width="10.54296875" bestFit="1" customWidth="1"/>
    <col min="1238" max="1245" width="15.81640625" bestFit="1" customWidth="1"/>
    <col min="1246" max="1253" width="17" bestFit="1" customWidth="1"/>
    <col min="1254" max="1255" width="12.453125" bestFit="1" customWidth="1"/>
    <col min="1256" max="1261" width="10.54296875" bestFit="1" customWidth="1"/>
    <col min="1262" max="1269" width="15.81640625" bestFit="1" customWidth="1"/>
    <col min="1270" max="1277" width="17" bestFit="1" customWidth="1"/>
    <col min="1278" max="1279" width="12.453125" bestFit="1" customWidth="1"/>
    <col min="1280" max="1285" width="10.54296875" bestFit="1" customWidth="1"/>
    <col min="1286" max="1287" width="12.453125" bestFit="1" customWidth="1"/>
    <col min="1288" max="1293" width="10.54296875" bestFit="1" customWidth="1"/>
    <col min="1294" max="1295" width="12.453125" bestFit="1" customWidth="1"/>
    <col min="1296" max="1301" width="10.54296875" bestFit="1" customWidth="1"/>
    <col min="1302" max="1309" width="15.81640625" bestFit="1" customWidth="1"/>
    <col min="1310" max="1317" width="17" bestFit="1" customWidth="1"/>
    <col min="1318" max="1319" width="12.453125" bestFit="1" customWidth="1"/>
    <col min="1320" max="1325" width="10.54296875" bestFit="1" customWidth="1"/>
    <col min="1326" max="1333" width="15.81640625" bestFit="1" customWidth="1"/>
    <col min="1334" max="1341" width="17" bestFit="1" customWidth="1"/>
    <col min="1342" max="1343" width="12.453125" bestFit="1" customWidth="1"/>
    <col min="1344" max="1349" width="10.54296875" bestFit="1" customWidth="1"/>
    <col min="1350" max="1351" width="12.453125" bestFit="1" customWidth="1"/>
    <col min="1352" max="1357" width="10.54296875" bestFit="1" customWidth="1"/>
    <col min="1358" max="1359" width="12.453125" bestFit="1" customWidth="1"/>
    <col min="1360" max="1365" width="10.54296875" bestFit="1" customWidth="1"/>
    <col min="1366" max="1373" width="15.81640625" bestFit="1" customWidth="1"/>
    <col min="1374" max="1381" width="17" bestFit="1" customWidth="1"/>
    <col min="1382" max="1383" width="12.453125" bestFit="1" customWidth="1"/>
    <col min="1384" max="1389" width="10.54296875" bestFit="1" customWidth="1"/>
    <col min="1390" max="1397" width="15.81640625" bestFit="1" customWidth="1"/>
    <col min="1398" max="1405" width="17" bestFit="1" customWidth="1"/>
    <col min="1406" max="1407" width="12.453125" bestFit="1" customWidth="1"/>
    <col min="1408" max="1413" width="10.54296875" bestFit="1" customWidth="1"/>
    <col min="1414" max="1415" width="12.453125" bestFit="1" customWidth="1"/>
    <col min="1416" max="1421" width="10.54296875" bestFit="1" customWidth="1"/>
    <col min="1422" max="1423" width="12.453125" bestFit="1" customWidth="1"/>
    <col min="1424" max="1429" width="10.54296875" bestFit="1" customWidth="1"/>
    <col min="1430" max="1437" width="15.81640625" bestFit="1" customWidth="1"/>
    <col min="1438" max="1445" width="17" bestFit="1" customWidth="1"/>
    <col min="1446" max="1447" width="12.453125" bestFit="1" customWidth="1"/>
    <col min="1448" max="1453" width="10.54296875" bestFit="1" customWidth="1"/>
    <col min="1454" max="1461" width="15.81640625" bestFit="1" customWidth="1"/>
    <col min="1462" max="1469" width="17" bestFit="1" customWidth="1"/>
    <col min="1470" max="1471" width="12.453125" bestFit="1" customWidth="1"/>
    <col min="1472" max="1477" width="10.54296875" bestFit="1" customWidth="1"/>
    <col min="1478" max="1479" width="12.453125" bestFit="1" customWidth="1"/>
    <col min="1480" max="1485" width="10.54296875" bestFit="1" customWidth="1"/>
    <col min="1486" max="1487" width="12.453125" bestFit="1" customWidth="1"/>
    <col min="1488" max="1493" width="10.54296875" bestFit="1" customWidth="1"/>
    <col min="1494" max="1501" width="15.81640625" bestFit="1" customWidth="1"/>
    <col min="1502" max="1509" width="17" bestFit="1" customWidth="1"/>
    <col min="1510" max="1511" width="12.453125" bestFit="1" customWidth="1"/>
    <col min="1512" max="1517" width="10.54296875" bestFit="1" customWidth="1"/>
    <col min="1518" max="1525" width="15.81640625" bestFit="1" customWidth="1"/>
    <col min="1526" max="1533" width="17" bestFit="1" customWidth="1"/>
    <col min="1534" max="1535" width="12.453125" bestFit="1" customWidth="1"/>
    <col min="1536" max="1541" width="10.54296875" bestFit="1" customWidth="1"/>
    <col min="1542" max="1543" width="12.453125" bestFit="1" customWidth="1"/>
    <col min="1544" max="1549" width="10.54296875" bestFit="1" customWidth="1"/>
    <col min="1550" max="1551" width="12.453125" bestFit="1" customWidth="1"/>
    <col min="1552" max="1557" width="10.54296875" bestFit="1" customWidth="1"/>
    <col min="1558" max="1565" width="15.81640625" bestFit="1" customWidth="1"/>
    <col min="1566" max="1573" width="17" bestFit="1" customWidth="1"/>
    <col min="1574" max="1575" width="12.453125" bestFit="1" customWidth="1"/>
    <col min="1576" max="1581" width="10.54296875" bestFit="1" customWidth="1"/>
    <col min="1582" max="1589" width="15.81640625" bestFit="1" customWidth="1"/>
    <col min="1590" max="1597" width="17" bestFit="1" customWidth="1"/>
    <col min="1598" max="1599" width="12.453125" bestFit="1" customWidth="1"/>
    <col min="1600" max="1605" width="10.54296875" bestFit="1" customWidth="1"/>
    <col min="1606" max="1607" width="12.453125" bestFit="1" customWidth="1"/>
    <col min="1608" max="1613" width="10.54296875" bestFit="1" customWidth="1"/>
    <col min="1614" max="1615" width="12.453125" bestFit="1" customWidth="1"/>
    <col min="1616" max="1621" width="10.54296875" bestFit="1" customWidth="1"/>
    <col min="1622" max="1629" width="15.81640625" bestFit="1" customWidth="1"/>
    <col min="1630" max="1637" width="17" bestFit="1" customWidth="1"/>
    <col min="1638" max="1639" width="12.453125" bestFit="1" customWidth="1"/>
    <col min="1640" max="1645" width="10.54296875" bestFit="1" customWidth="1"/>
    <col min="1646" max="1653" width="15.81640625" bestFit="1" customWidth="1"/>
    <col min="1654" max="1661" width="17" bestFit="1" customWidth="1"/>
    <col min="1662" max="1663" width="12.453125" bestFit="1" customWidth="1"/>
    <col min="1664" max="1669" width="10.54296875" bestFit="1" customWidth="1"/>
    <col min="1670" max="1671" width="12.453125" bestFit="1" customWidth="1"/>
    <col min="1672" max="1677" width="10.54296875" bestFit="1" customWidth="1"/>
    <col min="1678" max="1679" width="12.453125" bestFit="1" customWidth="1"/>
    <col min="1680" max="1685" width="10.54296875" bestFit="1" customWidth="1"/>
    <col min="1686" max="1693" width="15.81640625" bestFit="1" customWidth="1"/>
    <col min="1694" max="1701" width="17" bestFit="1" customWidth="1"/>
    <col min="1702" max="1703" width="12.453125" bestFit="1" customWidth="1"/>
    <col min="1704" max="1709" width="10.54296875" bestFit="1" customWidth="1"/>
    <col min="1710" max="1717" width="15.81640625" bestFit="1" customWidth="1"/>
    <col min="1718" max="1725" width="17" bestFit="1" customWidth="1"/>
    <col min="1726" max="1727" width="12.453125" bestFit="1" customWidth="1"/>
    <col min="1728" max="1733" width="10.54296875" bestFit="1" customWidth="1"/>
    <col min="1734" max="1735" width="12.453125" bestFit="1" customWidth="1"/>
    <col min="1736" max="1741" width="10.54296875" bestFit="1" customWidth="1"/>
    <col min="1742" max="1743" width="12.453125" bestFit="1" customWidth="1"/>
    <col min="1744" max="1749" width="10.54296875" bestFit="1" customWidth="1"/>
    <col min="1750" max="1757" width="15.81640625" bestFit="1" customWidth="1"/>
    <col min="1758" max="1765" width="17" bestFit="1" customWidth="1"/>
    <col min="1766" max="1767" width="12.453125" bestFit="1" customWidth="1"/>
    <col min="1768" max="1773" width="10.54296875" bestFit="1" customWidth="1"/>
    <col min="1774" max="1781" width="15.81640625" bestFit="1" customWidth="1"/>
    <col min="1782" max="1789" width="17" bestFit="1" customWidth="1"/>
    <col min="1790" max="1791" width="12.453125" bestFit="1" customWidth="1"/>
    <col min="1792" max="1797" width="10.54296875" bestFit="1" customWidth="1"/>
    <col min="1798" max="1799" width="12.453125" bestFit="1" customWidth="1"/>
    <col min="1800" max="1805" width="10.54296875" bestFit="1" customWidth="1"/>
    <col min="1806" max="1807" width="12.453125" bestFit="1" customWidth="1"/>
    <col min="1808" max="1813" width="10.54296875" bestFit="1" customWidth="1"/>
    <col min="1814" max="1821" width="15.81640625" bestFit="1" customWidth="1"/>
    <col min="1822" max="1829" width="17" bestFit="1" customWidth="1"/>
    <col min="1830" max="1831" width="12.453125" bestFit="1" customWidth="1"/>
    <col min="1832" max="1837" width="10.54296875" bestFit="1" customWidth="1"/>
    <col min="1838" max="1845" width="15.81640625" bestFit="1" customWidth="1"/>
    <col min="1846" max="1853" width="17" bestFit="1" customWidth="1"/>
    <col min="1854" max="1855" width="12.453125" bestFit="1" customWidth="1"/>
    <col min="1856" max="1861" width="10.54296875" bestFit="1" customWidth="1"/>
    <col min="1862" max="1863" width="12.453125" bestFit="1" customWidth="1"/>
    <col min="1864" max="1869" width="10.54296875" bestFit="1" customWidth="1"/>
    <col min="1870" max="1871" width="12.453125" bestFit="1" customWidth="1"/>
    <col min="1872" max="1877" width="10.54296875" bestFit="1" customWidth="1"/>
    <col min="1878" max="1885" width="15.81640625" bestFit="1" customWidth="1"/>
    <col min="1886" max="1893" width="17" bestFit="1" customWidth="1"/>
    <col min="1894" max="1895" width="12.453125" bestFit="1" customWidth="1"/>
    <col min="1896" max="1901" width="10.54296875" bestFit="1" customWidth="1"/>
    <col min="1902" max="1909" width="15.81640625" bestFit="1" customWidth="1"/>
    <col min="1910" max="1917" width="17" bestFit="1" customWidth="1"/>
    <col min="1918" max="1919" width="12.453125" bestFit="1" customWidth="1"/>
    <col min="1920" max="1925" width="10.54296875" bestFit="1" customWidth="1"/>
    <col min="1926" max="1927" width="12.453125" bestFit="1" customWidth="1"/>
    <col min="1928" max="1933" width="10.54296875" bestFit="1" customWidth="1"/>
    <col min="1934" max="1935" width="12.453125" bestFit="1" customWidth="1"/>
    <col min="1936" max="1941" width="10.54296875" bestFit="1" customWidth="1"/>
    <col min="1942" max="1949" width="15.81640625" bestFit="1" customWidth="1"/>
    <col min="1950" max="1957" width="17" bestFit="1" customWidth="1"/>
    <col min="1958" max="1959" width="12.453125" bestFit="1" customWidth="1"/>
    <col min="1960" max="1965" width="10.54296875" bestFit="1" customWidth="1"/>
    <col min="1966" max="1973" width="15.81640625" bestFit="1" customWidth="1"/>
    <col min="1974" max="1981" width="17" bestFit="1" customWidth="1"/>
    <col min="1982" max="1983" width="12.453125" bestFit="1" customWidth="1"/>
    <col min="1984" max="1989" width="10.54296875" bestFit="1" customWidth="1"/>
    <col min="1990" max="1991" width="12.453125" bestFit="1" customWidth="1"/>
    <col min="1992" max="1997" width="10.54296875" bestFit="1" customWidth="1"/>
    <col min="1998" max="1999" width="12.453125" bestFit="1" customWidth="1"/>
    <col min="2000" max="2005" width="10.54296875" bestFit="1" customWidth="1"/>
    <col min="2006" max="2013" width="15.81640625" bestFit="1" customWidth="1"/>
    <col min="2014" max="2021" width="17" bestFit="1" customWidth="1"/>
    <col min="2022" max="2023" width="12.453125" bestFit="1" customWidth="1"/>
    <col min="2024" max="2029" width="10.54296875" bestFit="1" customWidth="1"/>
    <col min="2030" max="2037" width="15.81640625" bestFit="1" customWidth="1"/>
    <col min="2038" max="2045" width="17" bestFit="1" customWidth="1"/>
    <col min="2046" max="2047" width="12.453125" bestFit="1" customWidth="1"/>
    <col min="2048" max="2053" width="10.54296875" bestFit="1" customWidth="1"/>
    <col min="2054" max="2055" width="12.453125" bestFit="1" customWidth="1"/>
    <col min="2056" max="2061" width="10.54296875" bestFit="1" customWidth="1"/>
    <col min="2062" max="2063" width="12.453125" bestFit="1" customWidth="1"/>
    <col min="2064" max="2069" width="10.54296875" bestFit="1" customWidth="1"/>
    <col min="2070" max="2077" width="15.81640625" bestFit="1" customWidth="1"/>
    <col min="2078" max="2085" width="17" bestFit="1" customWidth="1"/>
    <col min="2086" max="2087" width="12.453125" bestFit="1" customWidth="1"/>
    <col min="2088" max="2093" width="10.54296875" bestFit="1" customWidth="1"/>
    <col min="2094" max="2101" width="15.81640625" bestFit="1" customWidth="1"/>
    <col min="2102" max="2109" width="17" bestFit="1" customWidth="1"/>
    <col min="2110" max="2111" width="12.453125" bestFit="1" customWidth="1"/>
    <col min="2112" max="2117" width="10.54296875" bestFit="1" customWidth="1"/>
    <col min="2118" max="2119" width="12.453125" bestFit="1" customWidth="1"/>
    <col min="2120" max="2125" width="10.54296875" bestFit="1" customWidth="1"/>
    <col min="2126" max="2127" width="12.453125" bestFit="1" customWidth="1"/>
    <col min="2128" max="2133" width="10.54296875" bestFit="1" customWidth="1"/>
    <col min="2134" max="2141" width="15.81640625" bestFit="1" customWidth="1"/>
    <col min="2142" max="2149" width="17" bestFit="1" customWidth="1"/>
    <col min="2150" max="2151" width="12.453125" bestFit="1" customWidth="1"/>
    <col min="2152" max="2157" width="10.54296875" bestFit="1" customWidth="1"/>
    <col min="2158" max="2165" width="15.81640625" bestFit="1" customWidth="1"/>
    <col min="2166" max="2173" width="17" bestFit="1" customWidth="1"/>
    <col min="2174" max="2175" width="12.453125" bestFit="1" customWidth="1"/>
    <col min="2176" max="2181" width="10.54296875" bestFit="1" customWidth="1"/>
    <col min="2182" max="2183" width="12.453125" bestFit="1" customWidth="1"/>
    <col min="2184" max="2189" width="10.54296875" bestFit="1" customWidth="1"/>
    <col min="2190" max="2191" width="12.453125" bestFit="1" customWidth="1"/>
    <col min="2192" max="2197" width="10.54296875" bestFit="1" customWidth="1"/>
    <col min="2198" max="2205" width="15.81640625" bestFit="1" customWidth="1"/>
    <col min="2206" max="2213" width="17" bestFit="1" customWidth="1"/>
    <col min="2214" max="2215" width="12.453125" bestFit="1" customWidth="1"/>
    <col min="2216" max="2221" width="10.54296875" bestFit="1" customWidth="1"/>
    <col min="2222" max="2229" width="15.81640625" bestFit="1" customWidth="1"/>
    <col min="2230" max="2237" width="17" bestFit="1" customWidth="1"/>
    <col min="2238" max="2239" width="12.453125" bestFit="1" customWidth="1"/>
    <col min="2240" max="2245" width="10.54296875" bestFit="1" customWidth="1"/>
    <col min="2246" max="2247" width="12.453125" bestFit="1" customWidth="1"/>
    <col min="2248" max="2253" width="10.54296875" bestFit="1" customWidth="1"/>
    <col min="2254" max="2255" width="12.453125" bestFit="1" customWidth="1"/>
    <col min="2256" max="2261" width="10.54296875" bestFit="1" customWidth="1"/>
    <col min="2262" max="2269" width="15.81640625" bestFit="1" customWidth="1"/>
    <col min="2270" max="2277" width="17" bestFit="1" customWidth="1"/>
    <col min="2278" max="2279" width="12.453125" bestFit="1" customWidth="1"/>
    <col min="2280" max="2285" width="10.54296875" bestFit="1" customWidth="1"/>
    <col min="2286" max="2293" width="15.81640625" bestFit="1" customWidth="1"/>
    <col min="2294" max="2301" width="17" bestFit="1" customWidth="1"/>
    <col min="2302" max="2303" width="12.453125" bestFit="1" customWidth="1"/>
    <col min="2304" max="2309" width="10.54296875" bestFit="1" customWidth="1"/>
    <col min="2310" max="2311" width="12.453125" bestFit="1" customWidth="1"/>
    <col min="2312" max="2317" width="10.54296875" bestFit="1" customWidth="1"/>
    <col min="2318" max="2319" width="12.453125" bestFit="1" customWidth="1"/>
    <col min="2320" max="2325" width="10.54296875" bestFit="1" customWidth="1"/>
    <col min="2326" max="2333" width="15.81640625" bestFit="1" customWidth="1"/>
    <col min="2334" max="2341" width="17" bestFit="1" customWidth="1"/>
    <col min="2342" max="2343" width="12.453125" bestFit="1" customWidth="1"/>
    <col min="2344" max="2349" width="10.54296875" bestFit="1" customWidth="1"/>
    <col min="2350" max="2357" width="15.81640625" bestFit="1" customWidth="1"/>
    <col min="2358" max="2365" width="17" bestFit="1" customWidth="1"/>
    <col min="2366" max="2367" width="12.453125" bestFit="1" customWidth="1"/>
    <col min="2368" max="2373" width="10.54296875" bestFit="1" customWidth="1"/>
    <col min="2374" max="2375" width="12.453125" bestFit="1" customWidth="1"/>
    <col min="2376" max="2381" width="10.54296875" bestFit="1" customWidth="1"/>
    <col min="2382" max="2383" width="12.453125" bestFit="1" customWidth="1"/>
    <col min="2384" max="2389" width="10.54296875" bestFit="1" customWidth="1"/>
    <col min="2390" max="2397" width="15.81640625" bestFit="1" customWidth="1"/>
    <col min="2398" max="2405" width="17" bestFit="1" customWidth="1"/>
    <col min="2406" max="2407" width="12.453125" bestFit="1" customWidth="1"/>
    <col min="2408" max="2413" width="10.54296875" bestFit="1" customWidth="1"/>
    <col min="2414" max="2421" width="15.81640625" bestFit="1" customWidth="1"/>
    <col min="2422" max="2429" width="17" bestFit="1" customWidth="1"/>
    <col min="2430" max="2431" width="12.453125" bestFit="1" customWidth="1"/>
    <col min="2432" max="2437" width="10.54296875" bestFit="1" customWidth="1"/>
    <col min="2438" max="2439" width="12.453125" bestFit="1" customWidth="1"/>
    <col min="2440" max="2445" width="10.54296875" bestFit="1" customWidth="1"/>
    <col min="2446" max="2447" width="12.453125" bestFit="1" customWidth="1"/>
    <col min="2448" max="2453" width="10.54296875" bestFit="1" customWidth="1"/>
    <col min="2454" max="2461" width="15.81640625" bestFit="1" customWidth="1"/>
    <col min="2462" max="2469" width="17" bestFit="1" customWidth="1"/>
    <col min="2470" max="2471" width="12.453125" bestFit="1" customWidth="1"/>
    <col min="2472" max="2477" width="10.54296875" bestFit="1" customWidth="1"/>
    <col min="2478" max="2485" width="15.81640625" bestFit="1" customWidth="1"/>
    <col min="2486" max="2493" width="17" bestFit="1" customWidth="1"/>
    <col min="2494" max="2495" width="12.453125" bestFit="1" customWidth="1"/>
    <col min="2496" max="2501" width="10.54296875" bestFit="1" customWidth="1"/>
    <col min="2502" max="2503" width="12.453125" bestFit="1" customWidth="1"/>
    <col min="2504" max="2509" width="10.54296875" bestFit="1" customWidth="1"/>
    <col min="2510" max="2511" width="12.453125" bestFit="1" customWidth="1"/>
    <col min="2512" max="2517" width="10.54296875" bestFit="1" customWidth="1"/>
    <col min="2518" max="2525" width="15.81640625" bestFit="1" customWidth="1"/>
    <col min="2526" max="2533" width="17" bestFit="1" customWidth="1"/>
    <col min="2534" max="2535" width="12.453125" bestFit="1" customWidth="1"/>
    <col min="2536" max="2541" width="10.54296875" bestFit="1" customWidth="1"/>
    <col min="2542" max="2549" width="15.81640625" bestFit="1" customWidth="1"/>
    <col min="2550" max="2557" width="17" bestFit="1" customWidth="1"/>
    <col min="2558" max="2559" width="12.453125" bestFit="1" customWidth="1"/>
    <col min="2560" max="2565" width="10.54296875" bestFit="1" customWidth="1"/>
    <col min="2566" max="2566" width="10.1796875" bestFit="1" customWidth="1"/>
    <col min="2567" max="2567" width="10" bestFit="1" customWidth="1"/>
    <col min="2568" max="2573" width="10.54296875" bestFit="1" customWidth="1"/>
    <col min="2574" max="2574" width="10.1796875" bestFit="1" customWidth="1"/>
    <col min="2575" max="2575" width="10" bestFit="1" customWidth="1"/>
    <col min="2576" max="2581" width="10.54296875" bestFit="1" customWidth="1"/>
    <col min="2582" max="2589" width="15.81640625" bestFit="1" customWidth="1"/>
    <col min="2590" max="2597" width="17" bestFit="1" customWidth="1"/>
    <col min="2598" max="2598" width="10.1796875" bestFit="1" customWidth="1"/>
    <col min="2599" max="2599" width="10" bestFit="1" customWidth="1"/>
    <col min="2600" max="2605" width="10.54296875" bestFit="1" customWidth="1"/>
    <col min="2606" max="2613" width="15.81640625" bestFit="1" customWidth="1"/>
    <col min="2614" max="2621" width="17" bestFit="1" customWidth="1"/>
    <col min="2622" max="2622" width="10.1796875" bestFit="1" customWidth="1"/>
    <col min="2623" max="2623" width="10" bestFit="1" customWidth="1"/>
    <col min="2624" max="2629" width="10.54296875" bestFit="1" customWidth="1"/>
    <col min="2630" max="2630" width="10.1796875" bestFit="1" customWidth="1"/>
    <col min="2631" max="2631" width="10" bestFit="1" customWidth="1"/>
    <col min="2632" max="2637" width="10.54296875" bestFit="1" customWidth="1"/>
    <col min="2638" max="2638" width="10.1796875" bestFit="1" customWidth="1"/>
    <col min="2639" max="2639" width="10" bestFit="1" customWidth="1"/>
    <col min="2640" max="2645" width="10.54296875" bestFit="1" customWidth="1"/>
    <col min="2646" max="2653" width="15.81640625" bestFit="1" customWidth="1"/>
    <col min="2654" max="2661" width="17" bestFit="1" customWidth="1"/>
    <col min="2662" max="2662" width="10.1796875" bestFit="1" customWidth="1"/>
    <col min="2663" max="2663" width="10" bestFit="1" customWidth="1"/>
    <col min="2664" max="2669" width="10.54296875" bestFit="1" customWidth="1"/>
    <col min="2670" max="2677" width="15.81640625" bestFit="1" customWidth="1"/>
    <col min="2678" max="2685" width="17" bestFit="1" customWidth="1"/>
    <col min="2686" max="2686" width="10.1796875" bestFit="1" customWidth="1"/>
    <col min="2687" max="2687" width="10" bestFit="1" customWidth="1"/>
    <col min="2688" max="2693" width="10.54296875" bestFit="1" customWidth="1"/>
    <col min="2694" max="2694" width="10.1796875" bestFit="1" customWidth="1"/>
    <col min="2695" max="2695" width="10" bestFit="1" customWidth="1"/>
    <col min="2696" max="2701" width="10.54296875" bestFit="1" customWidth="1"/>
    <col min="2702" max="2702" width="10.1796875" bestFit="1" customWidth="1"/>
    <col min="2703" max="2703" width="10" bestFit="1" customWidth="1"/>
    <col min="2704" max="2709" width="10.54296875" bestFit="1" customWidth="1"/>
    <col min="2710" max="2717" width="15.81640625" bestFit="1" customWidth="1"/>
    <col min="2718" max="2725" width="17" bestFit="1" customWidth="1"/>
    <col min="2726" max="2726" width="10.1796875" bestFit="1" customWidth="1"/>
    <col min="2727" max="2727" width="10" bestFit="1" customWidth="1"/>
    <col min="2728" max="2733" width="10.54296875" bestFit="1" customWidth="1"/>
    <col min="2734" max="2741" width="15.81640625" bestFit="1" customWidth="1"/>
    <col min="2742" max="2749" width="17" bestFit="1" customWidth="1"/>
    <col min="2750" max="2750" width="10.1796875" bestFit="1" customWidth="1"/>
    <col min="2751" max="2751" width="10" bestFit="1" customWidth="1"/>
    <col min="2752" max="2757" width="10.54296875" bestFit="1" customWidth="1"/>
    <col min="2758" max="2758" width="10.1796875" bestFit="1" customWidth="1"/>
    <col min="2759" max="2759" width="10" bestFit="1" customWidth="1"/>
    <col min="2760" max="2765" width="10.54296875" bestFit="1" customWidth="1"/>
    <col min="2766" max="2766" width="10.1796875" bestFit="1" customWidth="1"/>
    <col min="2767" max="2767" width="10" bestFit="1" customWidth="1"/>
    <col min="2768" max="2773" width="10.54296875" bestFit="1" customWidth="1"/>
    <col min="2774" max="2781" width="15.81640625" bestFit="1" customWidth="1"/>
    <col min="2782" max="2789" width="17" bestFit="1" customWidth="1"/>
    <col min="2790" max="2790" width="10.1796875" bestFit="1" customWidth="1"/>
    <col min="2791" max="2791" width="10" bestFit="1" customWidth="1"/>
    <col min="2792" max="2797" width="10.54296875" bestFit="1" customWidth="1"/>
    <col min="2798" max="2805" width="15.81640625" bestFit="1" customWidth="1"/>
    <col min="2806" max="2813" width="17" bestFit="1" customWidth="1"/>
    <col min="2814" max="2814" width="10.1796875" bestFit="1" customWidth="1"/>
    <col min="2815" max="2815" width="10" bestFit="1" customWidth="1"/>
    <col min="2816" max="2821" width="10.54296875" bestFit="1" customWidth="1"/>
    <col min="2822" max="2822" width="10.1796875" bestFit="1" customWidth="1"/>
    <col min="2823" max="2823" width="10" bestFit="1" customWidth="1"/>
    <col min="2824" max="2829" width="10.54296875" bestFit="1" customWidth="1"/>
    <col min="2830" max="2830" width="10.1796875" bestFit="1" customWidth="1"/>
    <col min="2831" max="2831" width="10" bestFit="1" customWidth="1"/>
    <col min="2832" max="2837" width="10.54296875" bestFit="1" customWidth="1"/>
    <col min="2838" max="2845" width="15.81640625" bestFit="1" customWidth="1"/>
    <col min="2846" max="2853" width="17" bestFit="1" customWidth="1"/>
    <col min="2854" max="2854" width="10.1796875" bestFit="1" customWidth="1"/>
    <col min="2855" max="2855" width="10" bestFit="1" customWidth="1"/>
    <col min="2856" max="2861" width="10.54296875" bestFit="1" customWidth="1"/>
    <col min="2862" max="2869" width="15.81640625" bestFit="1" customWidth="1"/>
    <col min="2870" max="2877" width="17" bestFit="1" customWidth="1"/>
    <col min="2878" max="2878" width="10.1796875" bestFit="1" customWidth="1"/>
    <col min="2879" max="2879" width="10" bestFit="1" customWidth="1"/>
    <col min="2880" max="2885" width="10.54296875" bestFit="1" customWidth="1"/>
    <col min="2886" max="2886" width="10.1796875" bestFit="1" customWidth="1"/>
    <col min="2887" max="2887" width="10" bestFit="1" customWidth="1"/>
    <col min="2888" max="2893" width="10.54296875" bestFit="1" customWidth="1"/>
    <col min="2894" max="2894" width="10.1796875" bestFit="1" customWidth="1"/>
    <col min="2895" max="2895" width="10" bestFit="1" customWidth="1"/>
    <col min="2896" max="2901" width="10.54296875" bestFit="1" customWidth="1"/>
    <col min="2902" max="2909" width="15.81640625" bestFit="1" customWidth="1"/>
    <col min="2910" max="2917" width="17" bestFit="1" customWidth="1"/>
    <col min="2918" max="2918" width="10.1796875" bestFit="1" customWidth="1"/>
    <col min="2919" max="2919" width="10" bestFit="1" customWidth="1"/>
    <col min="2920" max="2925" width="10.54296875" bestFit="1" customWidth="1"/>
    <col min="2926" max="2933" width="15.81640625" bestFit="1" customWidth="1"/>
    <col min="2934" max="2941" width="17" bestFit="1" customWidth="1"/>
    <col min="2942" max="2942" width="10.1796875" bestFit="1" customWidth="1"/>
    <col min="2943" max="2943" width="10" bestFit="1" customWidth="1"/>
    <col min="2944" max="2949" width="10.54296875" bestFit="1" customWidth="1"/>
    <col min="2950" max="2950" width="10.1796875" bestFit="1" customWidth="1"/>
    <col min="2951" max="2951" width="10" bestFit="1" customWidth="1"/>
    <col min="2952" max="2957" width="10.54296875" bestFit="1" customWidth="1"/>
    <col min="2958" max="2958" width="10.1796875" bestFit="1" customWidth="1"/>
    <col min="2959" max="2959" width="10" bestFit="1" customWidth="1"/>
    <col min="2960" max="2965" width="10.54296875" bestFit="1" customWidth="1"/>
    <col min="2966" max="2973" width="15.81640625" bestFit="1" customWidth="1"/>
    <col min="2974" max="2981" width="17" bestFit="1" customWidth="1"/>
    <col min="2982" max="2982" width="10.1796875" bestFit="1" customWidth="1"/>
    <col min="2983" max="2983" width="10" bestFit="1" customWidth="1"/>
    <col min="2984" max="2989" width="10.54296875" bestFit="1" customWidth="1"/>
    <col min="2990" max="2997" width="15.81640625" bestFit="1" customWidth="1"/>
    <col min="2998" max="3005" width="17" bestFit="1" customWidth="1"/>
    <col min="3006" max="3006" width="10.1796875" bestFit="1" customWidth="1"/>
    <col min="3007" max="3007" width="10" bestFit="1" customWidth="1"/>
    <col min="3008" max="3013" width="10.54296875" bestFit="1" customWidth="1"/>
    <col min="3014" max="3014" width="10.1796875" bestFit="1" customWidth="1"/>
    <col min="3015" max="3015" width="10" bestFit="1" customWidth="1"/>
    <col min="3016" max="3021" width="10.54296875" bestFit="1" customWidth="1"/>
    <col min="3022" max="3022" width="10.1796875" bestFit="1" customWidth="1"/>
    <col min="3023" max="3023" width="10" bestFit="1" customWidth="1"/>
    <col min="3024" max="3029" width="10.54296875" bestFit="1" customWidth="1"/>
    <col min="3030" max="3037" width="15.81640625" bestFit="1" customWidth="1"/>
    <col min="3038" max="3045" width="17" bestFit="1" customWidth="1"/>
    <col min="3046" max="3046" width="10.1796875" bestFit="1" customWidth="1"/>
    <col min="3047" max="3047" width="10" bestFit="1" customWidth="1"/>
    <col min="3048" max="3053" width="10.54296875" bestFit="1" customWidth="1"/>
    <col min="3054" max="3061" width="15.81640625" bestFit="1" customWidth="1"/>
    <col min="3062" max="3069" width="17" bestFit="1" customWidth="1"/>
    <col min="3070" max="3070" width="10.1796875" bestFit="1" customWidth="1"/>
    <col min="3071" max="3071" width="10" bestFit="1" customWidth="1"/>
    <col min="3072" max="3077" width="10.54296875" bestFit="1" customWidth="1"/>
    <col min="3078" max="3078" width="10.1796875" bestFit="1" customWidth="1"/>
    <col min="3079" max="3079" width="10" bestFit="1" customWidth="1"/>
    <col min="3080" max="3085" width="10.54296875" bestFit="1" customWidth="1"/>
    <col min="3086" max="3086" width="10.1796875" bestFit="1" customWidth="1"/>
    <col min="3087" max="3087" width="10" bestFit="1" customWidth="1"/>
    <col min="3088" max="3093" width="10.54296875" bestFit="1" customWidth="1"/>
    <col min="3094" max="3101" width="15.81640625" bestFit="1" customWidth="1"/>
    <col min="3102" max="3109" width="17" bestFit="1" customWidth="1"/>
    <col min="3110" max="3110" width="10.1796875" bestFit="1" customWidth="1"/>
    <col min="3111" max="3111" width="10" bestFit="1" customWidth="1"/>
    <col min="3112" max="3117" width="10.54296875" bestFit="1" customWidth="1"/>
    <col min="3118" max="3125" width="15.81640625" bestFit="1" customWidth="1"/>
    <col min="3126" max="3133" width="17" bestFit="1" customWidth="1"/>
    <col min="3134" max="3134" width="10.1796875" bestFit="1" customWidth="1"/>
    <col min="3135" max="3135" width="10" bestFit="1" customWidth="1"/>
    <col min="3136" max="3141" width="10.54296875" bestFit="1" customWidth="1"/>
    <col min="3142" max="3142" width="10.1796875" bestFit="1" customWidth="1"/>
    <col min="3143" max="3143" width="10" bestFit="1" customWidth="1"/>
    <col min="3144" max="3149" width="10.54296875" bestFit="1" customWidth="1"/>
    <col min="3150" max="3150" width="10.1796875" bestFit="1" customWidth="1"/>
    <col min="3151" max="3151" width="10" bestFit="1" customWidth="1"/>
    <col min="3152" max="3157" width="10.54296875" bestFit="1" customWidth="1"/>
    <col min="3158" max="3165" width="15.81640625" bestFit="1" customWidth="1"/>
    <col min="3166" max="3173" width="17" bestFit="1" customWidth="1"/>
    <col min="3174" max="3174" width="10.1796875" bestFit="1" customWidth="1"/>
    <col min="3175" max="3175" width="10" bestFit="1" customWidth="1"/>
    <col min="3176" max="3181" width="10.54296875" bestFit="1" customWidth="1"/>
    <col min="3182" max="3189" width="15.81640625" bestFit="1" customWidth="1"/>
    <col min="3190" max="3197" width="17" bestFit="1" customWidth="1"/>
    <col min="3198" max="3198" width="10.1796875" bestFit="1" customWidth="1"/>
    <col min="3199" max="3199" width="10" bestFit="1" customWidth="1"/>
    <col min="3200" max="3205" width="10.54296875" bestFit="1" customWidth="1"/>
    <col min="3206" max="3206" width="10.1796875" bestFit="1" customWidth="1"/>
    <col min="3207" max="3207" width="10" bestFit="1" customWidth="1"/>
    <col min="3208" max="3213" width="10.54296875" bestFit="1" customWidth="1"/>
    <col min="3214" max="3214" width="10.1796875" bestFit="1" customWidth="1"/>
    <col min="3215" max="3215" width="10" bestFit="1" customWidth="1"/>
    <col min="3216" max="3221" width="10.54296875" bestFit="1" customWidth="1"/>
    <col min="3222" max="3229" width="15.81640625" bestFit="1" customWidth="1"/>
    <col min="3230" max="3237" width="17" bestFit="1" customWidth="1"/>
    <col min="3238" max="3238" width="10.1796875" bestFit="1" customWidth="1"/>
    <col min="3239" max="3239" width="10" bestFit="1" customWidth="1"/>
    <col min="3240" max="3245" width="10.54296875" bestFit="1" customWidth="1"/>
    <col min="3246" max="3253" width="15.81640625" bestFit="1" customWidth="1"/>
    <col min="3254" max="3261" width="17" bestFit="1" customWidth="1"/>
    <col min="3262" max="3262" width="10.1796875" bestFit="1" customWidth="1"/>
    <col min="3263" max="3263" width="10" bestFit="1" customWidth="1"/>
    <col min="3264" max="3269" width="10.54296875" bestFit="1" customWidth="1"/>
    <col min="3270" max="3270" width="10.1796875" bestFit="1" customWidth="1"/>
    <col min="3271" max="3271" width="10" bestFit="1" customWidth="1"/>
    <col min="3272" max="3277" width="10.54296875" bestFit="1" customWidth="1"/>
    <col min="3278" max="3278" width="10.1796875" bestFit="1" customWidth="1"/>
    <col min="3279" max="3279" width="10" bestFit="1" customWidth="1"/>
    <col min="3280" max="3285" width="10.54296875" bestFit="1" customWidth="1"/>
    <col min="3286" max="3293" width="15.81640625" bestFit="1" customWidth="1"/>
    <col min="3294" max="3301" width="17" bestFit="1" customWidth="1"/>
    <col min="3302" max="3302" width="10.1796875" bestFit="1" customWidth="1"/>
    <col min="3303" max="3303" width="10" bestFit="1" customWidth="1"/>
    <col min="3304" max="3309" width="10.54296875" bestFit="1" customWidth="1"/>
    <col min="3310" max="3317" width="15.81640625" bestFit="1" customWidth="1"/>
    <col min="3318" max="3325" width="17" bestFit="1" customWidth="1"/>
    <col min="3326" max="3326" width="10.1796875" bestFit="1" customWidth="1"/>
    <col min="3327" max="3327" width="10" bestFit="1" customWidth="1"/>
    <col min="3328" max="3333" width="10.54296875" bestFit="1" customWidth="1"/>
    <col min="3334" max="3334" width="10.1796875" bestFit="1" customWidth="1"/>
    <col min="3335" max="3335" width="10" bestFit="1" customWidth="1"/>
    <col min="3336" max="3341" width="10.54296875" bestFit="1" customWidth="1"/>
    <col min="3342" max="3342" width="10.1796875" bestFit="1" customWidth="1"/>
    <col min="3343" max="3343" width="10" bestFit="1" customWidth="1"/>
    <col min="3344" max="3349" width="10.54296875" bestFit="1" customWidth="1"/>
    <col min="3350" max="3357" width="15.81640625" bestFit="1" customWidth="1"/>
    <col min="3358" max="3365" width="17" bestFit="1" customWidth="1"/>
    <col min="3366" max="3366" width="10.1796875" bestFit="1" customWidth="1"/>
    <col min="3367" max="3367" width="10" bestFit="1" customWidth="1"/>
    <col min="3368" max="3373" width="10.54296875" bestFit="1" customWidth="1"/>
    <col min="3374" max="3381" width="15.81640625" bestFit="1" customWidth="1"/>
    <col min="3382" max="3389" width="17" bestFit="1" customWidth="1"/>
    <col min="3390" max="3390" width="10.1796875" bestFit="1" customWidth="1"/>
    <col min="3391" max="3391" width="10" bestFit="1" customWidth="1"/>
    <col min="3392" max="3397" width="10.54296875" bestFit="1" customWidth="1"/>
    <col min="3398" max="3398" width="10.1796875" bestFit="1" customWidth="1"/>
    <col min="3399" max="3399" width="10" bestFit="1" customWidth="1"/>
    <col min="3400" max="3405" width="10.54296875" bestFit="1" customWidth="1"/>
    <col min="3406" max="3406" width="10.1796875" bestFit="1" customWidth="1"/>
    <col min="3407" max="3407" width="10" bestFit="1" customWidth="1"/>
    <col min="3408" max="3413" width="10.54296875" bestFit="1" customWidth="1"/>
    <col min="3414" max="3421" width="15.81640625" bestFit="1" customWidth="1"/>
    <col min="3422" max="3429" width="17" bestFit="1" customWidth="1"/>
    <col min="3430" max="3430" width="10.1796875" bestFit="1" customWidth="1"/>
    <col min="3431" max="3431" width="10" bestFit="1" customWidth="1"/>
    <col min="3432" max="3437" width="10.54296875" bestFit="1" customWidth="1"/>
    <col min="3438" max="3445" width="15.81640625" bestFit="1" customWidth="1"/>
    <col min="3446" max="3453" width="17" bestFit="1" customWidth="1"/>
    <col min="3454" max="3454" width="10.1796875" bestFit="1" customWidth="1"/>
    <col min="3455" max="3455" width="10" bestFit="1" customWidth="1"/>
    <col min="3456" max="3461" width="10.54296875" bestFit="1" customWidth="1"/>
    <col min="3462" max="3462" width="10.1796875" bestFit="1" customWidth="1"/>
    <col min="3463" max="3463" width="10" bestFit="1" customWidth="1"/>
    <col min="3464" max="3469" width="10.54296875" bestFit="1" customWidth="1"/>
    <col min="3470" max="3470" width="10.1796875" bestFit="1" customWidth="1"/>
    <col min="3471" max="3471" width="10" bestFit="1" customWidth="1"/>
    <col min="3472" max="3477" width="10.54296875" bestFit="1" customWidth="1"/>
    <col min="3478" max="3485" width="15.81640625" bestFit="1" customWidth="1"/>
    <col min="3486" max="3493" width="17" bestFit="1" customWidth="1"/>
    <col min="3494" max="3494" width="10.1796875" bestFit="1" customWidth="1"/>
    <col min="3495" max="3495" width="10" bestFit="1" customWidth="1"/>
    <col min="3496" max="3501" width="10.54296875" bestFit="1" customWidth="1"/>
    <col min="3502" max="3509" width="15.81640625" bestFit="1" customWidth="1"/>
    <col min="3510" max="3517" width="17" bestFit="1" customWidth="1"/>
    <col min="3518" max="3518" width="10.1796875" bestFit="1" customWidth="1"/>
    <col min="3519" max="3519" width="10" bestFit="1" customWidth="1"/>
    <col min="3520" max="3525" width="10.54296875" bestFit="1" customWidth="1"/>
    <col min="3526" max="3526" width="10.1796875" bestFit="1" customWidth="1"/>
    <col min="3527" max="3527" width="10" bestFit="1" customWidth="1"/>
    <col min="3528" max="3533" width="10.54296875" bestFit="1" customWidth="1"/>
    <col min="3534" max="3534" width="10.1796875" bestFit="1" customWidth="1"/>
    <col min="3535" max="3535" width="10" bestFit="1" customWidth="1"/>
    <col min="3536" max="3541" width="10.54296875" bestFit="1" customWidth="1"/>
    <col min="3542" max="3549" width="15.81640625" bestFit="1" customWidth="1"/>
    <col min="3550" max="3557" width="17" bestFit="1" customWidth="1"/>
    <col min="3558" max="3558" width="10.1796875" bestFit="1" customWidth="1"/>
    <col min="3559" max="3559" width="10" bestFit="1" customWidth="1"/>
    <col min="3560" max="3565" width="10.54296875" bestFit="1" customWidth="1"/>
    <col min="3566" max="3573" width="15.81640625" bestFit="1" customWidth="1"/>
    <col min="3574" max="3581" width="17" bestFit="1" customWidth="1"/>
    <col min="3582" max="3582" width="10.1796875" bestFit="1" customWidth="1"/>
    <col min="3583" max="3583" width="10" bestFit="1" customWidth="1"/>
    <col min="3584" max="3589" width="10.54296875" bestFit="1" customWidth="1"/>
    <col min="3590" max="3590" width="10.1796875" bestFit="1" customWidth="1"/>
    <col min="3591" max="3591" width="10" bestFit="1" customWidth="1"/>
    <col min="3592" max="3597" width="10.54296875" bestFit="1" customWidth="1"/>
    <col min="3598" max="3598" width="10.1796875" bestFit="1" customWidth="1"/>
    <col min="3599" max="3599" width="10" bestFit="1" customWidth="1"/>
    <col min="3600" max="3605" width="10.54296875" bestFit="1" customWidth="1"/>
    <col min="3606" max="3613" width="15.81640625" bestFit="1" customWidth="1"/>
    <col min="3614" max="3621" width="17" bestFit="1" customWidth="1"/>
    <col min="3622" max="3622" width="10.1796875" bestFit="1" customWidth="1"/>
    <col min="3623" max="3623" width="10" bestFit="1" customWidth="1"/>
    <col min="3624" max="3629" width="10.54296875" bestFit="1" customWidth="1"/>
    <col min="3630" max="3637" width="15.81640625" bestFit="1" customWidth="1"/>
    <col min="3638" max="3645" width="17" bestFit="1" customWidth="1"/>
    <col min="3646" max="3646" width="10.1796875" bestFit="1" customWidth="1"/>
    <col min="3647" max="3647" width="10" bestFit="1" customWidth="1"/>
    <col min="3648" max="3653" width="10.54296875" bestFit="1" customWidth="1"/>
    <col min="3654" max="3654" width="10.1796875" bestFit="1" customWidth="1"/>
    <col min="3655" max="3655" width="10" bestFit="1" customWidth="1"/>
    <col min="3656" max="3661" width="10.54296875" bestFit="1" customWidth="1"/>
    <col min="3662" max="3662" width="10.1796875" bestFit="1" customWidth="1"/>
    <col min="3663" max="3663" width="10" bestFit="1" customWidth="1"/>
    <col min="3664" max="3669" width="10.54296875" bestFit="1" customWidth="1"/>
    <col min="3670" max="3677" width="15.81640625" bestFit="1" customWidth="1"/>
    <col min="3678" max="3685" width="17" bestFit="1" customWidth="1"/>
    <col min="3686" max="3686" width="10.1796875" bestFit="1" customWidth="1"/>
    <col min="3687" max="3687" width="10" bestFit="1" customWidth="1"/>
    <col min="3688" max="3693" width="10.54296875" bestFit="1" customWidth="1"/>
    <col min="3694" max="3701" width="15.81640625" bestFit="1" customWidth="1"/>
    <col min="3702" max="3709" width="17" bestFit="1" customWidth="1"/>
    <col min="3710" max="3710" width="10.1796875" bestFit="1" customWidth="1"/>
    <col min="3711" max="3711" width="10" bestFit="1" customWidth="1"/>
    <col min="3712" max="3717" width="10.54296875" bestFit="1" customWidth="1"/>
    <col min="3718" max="3718" width="10.1796875" bestFit="1" customWidth="1"/>
    <col min="3719" max="3719" width="10" bestFit="1" customWidth="1"/>
    <col min="3720" max="3725" width="10.54296875" bestFit="1" customWidth="1"/>
    <col min="3726" max="3726" width="10.1796875" bestFit="1" customWidth="1"/>
    <col min="3727" max="3727" width="10" bestFit="1" customWidth="1"/>
    <col min="3728" max="3733" width="10.54296875" bestFit="1" customWidth="1"/>
    <col min="3734" max="3741" width="15.81640625" bestFit="1" customWidth="1"/>
    <col min="3742" max="3749" width="17" bestFit="1" customWidth="1"/>
    <col min="3750" max="3750" width="10.1796875" bestFit="1" customWidth="1"/>
    <col min="3751" max="3751" width="10" bestFit="1" customWidth="1"/>
    <col min="3752" max="3757" width="10.54296875" bestFit="1" customWidth="1"/>
    <col min="3758" max="3765" width="15.81640625" bestFit="1" customWidth="1"/>
    <col min="3766" max="3773" width="17" bestFit="1" customWidth="1"/>
    <col min="3774" max="3774" width="10.1796875" bestFit="1" customWidth="1"/>
    <col min="3775" max="3775" width="10" bestFit="1" customWidth="1"/>
    <col min="3776" max="3781" width="10.54296875" bestFit="1" customWidth="1"/>
    <col min="3782" max="3782" width="10.1796875" bestFit="1" customWidth="1"/>
    <col min="3783" max="3783" width="10" bestFit="1" customWidth="1"/>
    <col min="3784" max="3789" width="10.54296875" bestFit="1" customWidth="1"/>
    <col min="3790" max="3790" width="10.1796875" bestFit="1" customWidth="1"/>
    <col min="3791" max="3791" width="10" bestFit="1" customWidth="1"/>
    <col min="3792" max="3797" width="10.54296875" bestFit="1" customWidth="1"/>
    <col min="3798" max="3805" width="15.81640625" bestFit="1" customWidth="1"/>
    <col min="3806" max="3813" width="17" bestFit="1" customWidth="1"/>
    <col min="3814" max="3814" width="10.1796875" bestFit="1" customWidth="1"/>
    <col min="3815" max="3815" width="10" bestFit="1" customWidth="1"/>
    <col min="3816" max="3821" width="10.54296875" bestFit="1" customWidth="1"/>
    <col min="3822" max="3829" width="15.81640625" bestFit="1" customWidth="1"/>
    <col min="3830" max="3837" width="17" bestFit="1" customWidth="1"/>
    <col min="3838" max="3838" width="10.1796875" bestFit="1" customWidth="1"/>
    <col min="3839" max="3839" width="10" bestFit="1" customWidth="1"/>
    <col min="3840" max="3845" width="10.54296875" bestFit="1" customWidth="1"/>
    <col min="3846" max="3846" width="10.1796875" bestFit="1" customWidth="1"/>
    <col min="3847" max="3847" width="10" bestFit="1" customWidth="1"/>
    <col min="3848" max="3853" width="10.54296875" bestFit="1" customWidth="1"/>
    <col min="3854" max="3854" width="10.1796875" bestFit="1" customWidth="1"/>
    <col min="3855" max="3855" width="10" bestFit="1" customWidth="1"/>
    <col min="3856" max="3861" width="10.54296875" bestFit="1" customWidth="1"/>
    <col min="3862" max="3869" width="15.81640625" bestFit="1" customWidth="1"/>
    <col min="3870" max="3877" width="17" bestFit="1" customWidth="1"/>
    <col min="3878" max="3878" width="10.1796875" bestFit="1" customWidth="1"/>
    <col min="3879" max="3879" width="10" bestFit="1" customWidth="1"/>
    <col min="3880" max="3885" width="10.54296875" bestFit="1" customWidth="1"/>
    <col min="3886" max="3893" width="15.81640625" bestFit="1" customWidth="1"/>
    <col min="3894" max="3901" width="17" bestFit="1" customWidth="1"/>
    <col min="3902" max="3902" width="10.1796875" bestFit="1" customWidth="1"/>
    <col min="3903" max="3903" width="10" bestFit="1" customWidth="1"/>
    <col min="3904" max="3909" width="10.54296875" bestFit="1" customWidth="1"/>
    <col min="3910" max="3910" width="10.1796875" bestFit="1" customWidth="1"/>
    <col min="3911" max="3911" width="10" bestFit="1" customWidth="1"/>
    <col min="3912" max="3917" width="10.54296875" bestFit="1" customWidth="1"/>
    <col min="3918" max="3918" width="10.1796875" bestFit="1" customWidth="1"/>
    <col min="3919" max="3919" width="10" bestFit="1" customWidth="1"/>
    <col min="3920" max="3925" width="10.54296875" bestFit="1" customWidth="1"/>
    <col min="3926" max="3933" width="15.81640625" bestFit="1" customWidth="1"/>
    <col min="3934" max="3941" width="17" bestFit="1" customWidth="1"/>
    <col min="3942" max="3942" width="10.1796875" bestFit="1" customWidth="1"/>
    <col min="3943" max="3943" width="10" bestFit="1" customWidth="1"/>
    <col min="3944" max="3949" width="10.54296875" bestFit="1" customWidth="1"/>
    <col min="3950" max="3957" width="15.81640625" bestFit="1" customWidth="1"/>
    <col min="3958" max="3965" width="17" bestFit="1" customWidth="1"/>
    <col min="3966" max="3966" width="10.1796875" bestFit="1" customWidth="1"/>
    <col min="3967" max="3967" width="10" bestFit="1" customWidth="1"/>
    <col min="3968" max="3973" width="10.54296875" bestFit="1" customWidth="1"/>
    <col min="3974" max="3974" width="10.1796875" bestFit="1" customWidth="1"/>
    <col min="3975" max="3975" width="10" bestFit="1" customWidth="1"/>
    <col min="3976" max="3981" width="10.54296875" bestFit="1" customWidth="1"/>
    <col min="3982" max="3982" width="10.1796875" bestFit="1" customWidth="1"/>
    <col min="3983" max="3983" width="10" bestFit="1" customWidth="1"/>
    <col min="3984" max="3989" width="10.54296875" bestFit="1" customWidth="1"/>
    <col min="3990" max="3997" width="15.81640625" bestFit="1" customWidth="1"/>
    <col min="3998" max="4005" width="17" bestFit="1" customWidth="1"/>
    <col min="4006" max="4006" width="10.1796875" bestFit="1" customWidth="1"/>
    <col min="4007" max="4007" width="10" bestFit="1" customWidth="1"/>
    <col min="4008" max="4013" width="10.54296875" bestFit="1" customWidth="1"/>
    <col min="4014" max="4021" width="15.81640625" bestFit="1" customWidth="1"/>
    <col min="4022" max="4029" width="17" bestFit="1" customWidth="1"/>
    <col min="4030" max="4030" width="10.1796875" bestFit="1" customWidth="1"/>
    <col min="4031" max="4031" width="10" bestFit="1" customWidth="1"/>
    <col min="4032" max="4037" width="10.54296875" bestFit="1" customWidth="1"/>
    <col min="4038" max="4038" width="10.1796875" bestFit="1" customWidth="1"/>
    <col min="4039" max="4039" width="10" bestFit="1" customWidth="1"/>
    <col min="4040" max="4045" width="10.54296875" bestFit="1" customWidth="1"/>
    <col min="4046" max="4046" width="10.1796875" bestFit="1" customWidth="1"/>
    <col min="4047" max="4047" width="10" bestFit="1" customWidth="1"/>
    <col min="4048" max="4053" width="10.54296875" bestFit="1" customWidth="1"/>
    <col min="4054" max="4061" width="15.81640625" bestFit="1" customWidth="1"/>
    <col min="4062" max="4069" width="17" bestFit="1" customWidth="1"/>
    <col min="4070" max="4070" width="10.1796875" bestFit="1" customWidth="1"/>
    <col min="4071" max="4071" width="10" bestFit="1" customWidth="1"/>
    <col min="4072" max="4077" width="10.54296875" bestFit="1" customWidth="1"/>
    <col min="4078" max="4085" width="15.81640625" bestFit="1" customWidth="1"/>
    <col min="4086" max="4093" width="17" bestFit="1" customWidth="1"/>
    <col min="4094" max="4094" width="10.1796875" bestFit="1" customWidth="1"/>
    <col min="4095" max="4095" width="10" bestFit="1" customWidth="1"/>
    <col min="4096" max="4101" width="10.54296875" bestFit="1" customWidth="1"/>
  </cols>
  <sheetData>
    <row r="1" spans="1:16" hidden="1" outlineLevel="1" x14ac:dyDescent="0.35">
      <c r="M1" t="str">
        <f>I18</f>
        <v>LC</v>
      </c>
      <c r="N1" t="str">
        <f>$M$1</f>
        <v>LC</v>
      </c>
      <c r="O1" t="str">
        <f>$M$1</f>
        <v>LC</v>
      </c>
    </row>
    <row r="2" spans="1:16" hidden="1" outlineLevel="1" x14ac:dyDescent="0.35">
      <c r="A2" t="str">
        <f xml:space="preserve"> _xll.EPMOlapMemberO("[BFLOW].[PARENTH1].[B99]","","B99 - Closing Bal.","","000")</f>
        <v>B99 - Closing Bal.</v>
      </c>
      <c r="M2" t="str">
        <f>I17</f>
        <v>2020.JAN</v>
      </c>
      <c r="N2" t="str">
        <f>$M$2</f>
        <v>2020.JAN</v>
      </c>
      <c r="O2" t="str">
        <f>$M$2</f>
        <v>2020.JAN</v>
      </c>
    </row>
    <row r="3" spans="1:16" hidden="1" outlineLevel="1" x14ac:dyDescent="0.35">
      <c r="H3" t="s">
        <v>80</v>
      </c>
      <c r="M3" t="s">
        <v>37</v>
      </c>
      <c r="N3" t="s">
        <v>37</v>
      </c>
      <c r="O3" t="s">
        <v>37</v>
      </c>
    </row>
    <row r="4" spans="1:16" hidden="1" outlineLevel="1" x14ac:dyDescent="0.35">
      <c r="H4" t="str" cm="1">
        <f t="array" ref="H4">_xll.EPMDimensionOverride("000","ENTITY","BAS("&amp;I19&amp;")")</f>
        <v>Expansion of ENTITY Overriden</v>
      </c>
      <c r="M4" t="s">
        <v>98</v>
      </c>
      <c r="N4" t="s">
        <v>98</v>
      </c>
      <c r="O4" t="s">
        <v>99</v>
      </c>
    </row>
    <row r="5" spans="1:16" hidden="1" outlineLevel="1" x14ac:dyDescent="0.35">
      <c r="M5" t="s">
        <v>38</v>
      </c>
      <c r="N5" t="s">
        <v>39</v>
      </c>
      <c r="O5" t="s">
        <v>40</v>
      </c>
    </row>
    <row r="6" spans="1:16" hidden="1" outlineLevel="1" x14ac:dyDescent="0.35"/>
    <row r="7" spans="1:16" hidden="1" outlineLevel="1" x14ac:dyDescent="0.35"/>
    <row r="8" spans="1:16" hidden="1" outlineLevel="1" x14ac:dyDescent="0.35"/>
    <row r="9" spans="1:16" hidden="1" outlineLevel="1" x14ac:dyDescent="0.35"/>
    <row r="10" spans="1:16" hidden="1" outlineLevel="1" x14ac:dyDescent="0.35"/>
    <row r="11" spans="1:16" hidden="1" outlineLevel="1" x14ac:dyDescent="0.35"/>
    <row r="12" spans="1:16" hidden="1" outlineLevel="1" x14ac:dyDescent="0.35"/>
    <row r="13" spans="1:16" hidden="1" outlineLevel="1" x14ac:dyDescent="0.35"/>
    <row r="14" spans="1:16" ht="21" collapsed="1" x14ac:dyDescent="0.5">
      <c r="H14" s="51" t="s">
        <v>81</v>
      </c>
      <c r="J14" s="55" t="s">
        <v>145</v>
      </c>
      <c r="K14" s="149" t="s">
        <v>159</v>
      </c>
      <c r="L14" s="150"/>
      <c r="M14" s="150"/>
      <c r="N14" s="150"/>
      <c r="O14" s="150"/>
      <c r="P14" s="150"/>
    </row>
    <row r="15" spans="1:16" x14ac:dyDescent="0.35">
      <c r="H15" s="72" t="s">
        <v>53</v>
      </c>
      <c r="I15" s="73" t="str">
        <f>_xll.EPMModelCubeID("BMAIN")</f>
        <v>BMAIN</v>
      </c>
      <c r="J15" s="55" t="s">
        <v>107</v>
      </c>
      <c r="K15" s="149" t="s">
        <v>114</v>
      </c>
      <c r="L15" s="150"/>
      <c r="M15" s="150"/>
      <c r="N15" s="150"/>
      <c r="O15" s="150"/>
      <c r="P15" s="150"/>
    </row>
    <row r="16" spans="1:16" x14ac:dyDescent="0.35">
      <c r="H16" s="55" t="s">
        <v>78</v>
      </c>
      <c r="I16" s="54" t="str" cm="1">
        <f t="array" ref="I16">_xll.EPMContextMember("BMAIN",H16)</f>
        <v>FC100</v>
      </c>
      <c r="J16" s="55" t="s">
        <v>108</v>
      </c>
      <c r="K16" s="149" t="s">
        <v>112</v>
      </c>
      <c r="L16" s="150"/>
      <c r="M16" s="150"/>
      <c r="N16" s="150"/>
      <c r="O16" s="150"/>
      <c r="P16" s="150"/>
    </row>
    <row r="17" spans="6:17" x14ac:dyDescent="0.35">
      <c r="H17" s="55" t="s">
        <v>47</v>
      </c>
      <c r="I17" s="54" t="str" cm="1">
        <f t="array" ref="I17">_xll.EPMContextMember("BMAIN",H17)</f>
        <v>2020.JAN</v>
      </c>
      <c r="L17" s="50"/>
    </row>
    <row r="18" spans="6:17" x14ac:dyDescent="0.35">
      <c r="H18" s="55" t="s">
        <v>79</v>
      </c>
      <c r="I18" s="54" t="str" cm="1">
        <f t="array" ref="I18">_xll.EPMContextMember("BMAIN",H18)</f>
        <v>LC</v>
      </c>
      <c r="L18" s="50"/>
    </row>
    <row r="19" spans="6:17" x14ac:dyDescent="0.35">
      <c r="H19" s="55" t="s">
        <v>33</v>
      </c>
      <c r="I19" s="54" t="str" cm="1">
        <f t="array" ref="I19">_xll.EPMContextMember("BMAIN",H19)</f>
        <v>1090</v>
      </c>
      <c r="L19" s="50"/>
      <c r="N19"/>
    </row>
    <row r="21" spans="6:17" x14ac:dyDescent="0.35">
      <c r="N21"/>
      <c r="O21"/>
      <c r="Q21"/>
    </row>
    <row r="22" spans="6:17" x14ac:dyDescent="0.35">
      <c r="H22" s="44" t="str">
        <f xml:space="preserve"> _xll.EPMOlapMemberO("[Blank Member]","","","","000")</f>
        <v/>
      </c>
      <c r="I22" s="44" t="str">
        <f xml:space="preserve"> _xll.EPMOlapMemberO("[Blank Member]","","","","000")</f>
        <v/>
      </c>
      <c r="J22" s="44" t="str">
        <f xml:space="preserve"> _xll.EPMOlapMemberO(M4,"[DATASRC].[PARENTH1].[UPLOAD]","Total upload and upload adjustments","","000")</f>
        <v>UPLOAD</v>
      </c>
      <c r="K22" s="44" t="str">
        <f xml:space="preserve"> _xll.EPMOlapMemberO(N4,"[DATASRC].[PARENTH1].[UPLOAD]","Total upload and upload adjustments","","000")</f>
        <v>UPLOAD</v>
      </c>
      <c r="L22" s="44" t="str">
        <f xml:space="preserve"> _xll.EPMOlapMemberO(O4,"[DATASRC].[PARENTH1].[AD_MLC]","Manual adjustments data load","","000")</f>
        <v>AD_MLC</v>
      </c>
      <c r="M22" s="44" t="str">
        <f xml:space="preserve"> _xll.EPMOlapMemberO(O4,"[DATASRC].[PARENTH1].[AD_MLC]","Manual adjustments data load","","000")</f>
        <v>AD_MLC</v>
      </c>
      <c r="N22"/>
      <c r="O22"/>
      <c r="Q22"/>
    </row>
    <row r="23" spans="6:17" x14ac:dyDescent="0.35">
      <c r="H23" s="44" t="str">
        <f xml:space="preserve"> _xll.FPMXLClient.TechnicalCategory.EPMLocalMember("Entity Description","009","000")</f>
        <v>Entity Description</v>
      </c>
      <c r="I23" s="44" t="str">
        <f xml:space="preserve"> _xll.FPMXLClient.TechnicalCategory.EPMLocalMember("Trading Partner Description","007","000")</f>
        <v>Trading Partner Description</v>
      </c>
      <c r="J23" s="44" t="str">
        <f xml:space="preserve"> _xll.EPMOlapMemberO(M5,"[ACCOUNT].[PARENTH2].[SME_SALES]","SME Gross Sales","","000")</f>
        <v>SME_SALES</v>
      </c>
      <c r="K23" s="44" t="str">
        <f xml:space="preserve"> _xll.EPMOlapMemberO(N5,"[ACCOUNT].[PARENTH2].[SME_COGS]","SME Cost of Sales","","000")</f>
        <v>SME_COGS</v>
      </c>
      <c r="L23" s="44" t="str">
        <f xml:space="preserve"> _xll.EPMOlapMemberO(O5,"[ACCOUNT].[PARENTH1].[SMEPERCENT]","Stock Margin Percentage","","000")</f>
        <v>SMEPercent</v>
      </c>
      <c r="M23" s="44" t="str">
        <f xml:space="preserve"> _xll.FPMXLClient.TechnicalCategory.EPMLocalMember("Check","004","000")</f>
        <v>Check</v>
      </c>
      <c r="N23"/>
      <c r="O23"/>
      <c r="Q23"/>
    </row>
    <row r="24" spans="6:17" ht="37.5" customHeight="1" x14ac:dyDescent="0.35">
      <c r="H24" s="44" t="s">
        <v>42</v>
      </c>
      <c r="I24" s="44" t="s">
        <v>43</v>
      </c>
      <c r="J24" s="44" t="s">
        <v>44</v>
      </c>
      <c r="K24" s="44" t="s">
        <v>45</v>
      </c>
      <c r="L24" s="44" t="s">
        <v>110</v>
      </c>
      <c r="M24" s="44" t="s">
        <v>110</v>
      </c>
      <c r="N24"/>
      <c r="O24"/>
      <c r="Q24"/>
    </row>
    <row r="25" spans="6:17" hidden="1" x14ac:dyDescent="0.35">
      <c r="F25" s="43" t="str">
        <f xml:space="preserve"> _xll.EPMOlapMemberO("[ENTITY].[PARENTH1].[1090]","","1090","","000")</f>
        <v>1090</v>
      </c>
      <c r="G25" s="43" t="str">
        <f xml:space="preserve"> _xll.EPMOlapMemberO("[TPARTNER].[PARENTH1].[IC_TOTAL_THIRD]","","IC_TOTAL_THIRD","","000")</f>
        <v>IC_TOTAL_THIRD</v>
      </c>
      <c r="H25" s="43" t="str">
        <f>F25&amp;"_"&amp;_xll.EPMMemberDesc(F25)</f>
        <v>1090_Al Futtaim (Pvt) Ltd.</v>
      </c>
      <c r="I25" s="43" t="str">
        <f>RIGHT(G25, 4)&amp;"-"&amp;_xll.EPMMemberDesc(G25)</f>
        <v>HIRD-Total Intercompany and Third</v>
      </c>
      <c r="J25" s="45"/>
      <c r="K25" s="45"/>
      <c r="L25" s="76"/>
      <c r="M25" s="76">
        <f>IF(AND(J25=0, K25=0, L25=0), 1, IF(OR(L25="", L25=0), 0, 1))</f>
        <v>1</v>
      </c>
      <c r="N25"/>
      <c r="O25"/>
      <c r="Q25"/>
    </row>
    <row r="26" spans="6:17" x14ac:dyDescent="0.35">
      <c r="N26"/>
      <c r="O26"/>
      <c r="Q26"/>
    </row>
    <row r="27" spans="6:17" x14ac:dyDescent="0.35">
      <c r="N27"/>
      <c r="O27"/>
      <c r="Q27"/>
    </row>
    <row r="28" spans="6:17" x14ac:dyDescent="0.35">
      <c r="N28"/>
      <c r="O28"/>
      <c r="Q28"/>
    </row>
    <row r="29" spans="6:17" x14ac:dyDescent="0.35">
      <c r="N29"/>
      <c r="O29"/>
      <c r="Q29"/>
    </row>
    <row r="30" spans="6:17" x14ac:dyDescent="0.35">
      <c r="N30"/>
      <c r="O30"/>
      <c r="Q30"/>
    </row>
    <row r="31" spans="6:17" x14ac:dyDescent="0.35">
      <c r="N31"/>
      <c r="O31"/>
      <c r="Q31"/>
    </row>
    <row r="32" spans="6:17" x14ac:dyDescent="0.35">
      <c r="N32"/>
      <c r="O32"/>
      <c r="Q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spans="14:17" x14ac:dyDescent="0.35">
      <c r="N161"/>
      <c r="O161"/>
      <c r="Q161"/>
    </row>
    <row r="162" spans="14:17" x14ac:dyDescent="0.35">
      <c r="N162"/>
      <c r="O162"/>
      <c r="Q162"/>
    </row>
    <row r="163" spans="14:17" x14ac:dyDescent="0.35">
      <c r="N163"/>
      <c r="O163"/>
      <c r="Q163"/>
    </row>
    <row r="164" spans="14:17" x14ac:dyDescent="0.35">
      <c r="N164"/>
      <c r="O164"/>
      <c r="Q164"/>
    </row>
    <row r="165" spans="14:17" x14ac:dyDescent="0.35">
      <c r="N165"/>
      <c r="O165"/>
      <c r="Q165"/>
    </row>
    <row r="166" spans="14:17" x14ac:dyDescent="0.35">
      <c r="N166"/>
      <c r="O166"/>
      <c r="Q166"/>
    </row>
    <row r="167" spans="14:17" x14ac:dyDescent="0.35">
      <c r="N167"/>
      <c r="O167"/>
      <c r="Q167"/>
    </row>
    <row r="168" spans="14:17" x14ac:dyDescent="0.35">
      <c r="N168"/>
      <c r="O168"/>
      <c r="Q168"/>
    </row>
    <row r="169" spans="14:17" x14ac:dyDescent="0.35">
      <c r="N169"/>
      <c r="O169"/>
      <c r="Q169"/>
    </row>
    <row r="170" spans="14:17" x14ac:dyDescent="0.35">
      <c r="N170"/>
      <c r="O170"/>
      <c r="Q170"/>
    </row>
    <row r="171" spans="14:17" x14ac:dyDescent="0.35">
      <c r="N171"/>
      <c r="O171"/>
      <c r="Q171"/>
    </row>
    <row r="172" spans="14:17" x14ac:dyDescent="0.35">
      <c r="N172"/>
      <c r="O172"/>
      <c r="Q172"/>
    </row>
    <row r="173" spans="14:17" x14ac:dyDescent="0.35">
      <c r="N173"/>
      <c r="O173"/>
      <c r="Q173"/>
    </row>
    <row r="174" spans="14:17" x14ac:dyDescent="0.35">
      <c r="N174"/>
      <c r="O174"/>
      <c r="Q174"/>
    </row>
    <row r="175" spans="14:17" x14ac:dyDescent="0.35">
      <c r="N175"/>
      <c r="O175"/>
      <c r="Q175"/>
    </row>
    <row r="176" spans="14:17" x14ac:dyDescent="0.35">
      <c r="N176" s="53"/>
      <c r="Q176"/>
    </row>
    <row r="177" spans="14:17" x14ac:dyDescent="0.35">
      <c r="N177" s="53"/>
      <c r="Q177"/>
    </row>
    <row r="178" spans="14:17" x14ac:dyDescent="0.35">
      <c r="N178" s="53"/>
      <c r="Q178"/>
    </row>
    <row r="179" spans="14:17" x14ac:dyDescent="0.35">
      <c r="N179" s="53"/>
      <c r="Q179"/>
    </row>
    <row r="180" spans="14:17" x14ac:dyDescent="0.35">
      <c r="N180" s="53"/>
      <c r="Q180"/>
    </row>
    <row r="181" spans="14:17" x14ac:dyDescent="0.35">
      <c r="N181" s="53"/>
      <c r="Q181"/>
    </row>
    <row r="182" spans="14:17" x14ac:dyDescent="0.35">
      <c r="N182" s="53"/>
      <c r="Q182"/>
    </row>
    <row r="183" spans="14:17" x14ac:dyDescent="0.35">
      <c r="N183" s="53"/>
      <c r="Q183"/>
    </row>
    <row r="184" spans="14:17" x14ac:dyDescent="0.35">
      <c r="N184" s="53"/>
      <c r="Q184"/>
    </row>
    <row r="185" spans="14:17" x14ac:dyDescent="0.35">
      <c r="N185" s="53"/>
      <c r="Q185"/>
    </row>
    <row r="186" spans="14:17" x14ac:dyDescent="0.35">
      <c r="N186" s="53"/>
      <c r="Q186"/>
    </row>
    <row r="187" spans="14:17" x14ac:dyDescent="0.35">
      <c r="N187" s="53"/>
      <c r="Q187"/>
    </row>
    <row r="188" spans="14:17" x14ac:dyDescent="0.35">
      <c r="N188" s="53"/>
      <c r="Q188"/>
    </row>
    <row r="189" spans="14:17" x14ac:dyDescent="0.35">
      <c r="N189" s="53"/>
      <c r="Q189"/>
    </row>
    <row r="190" spans="14:17" x14ac:dyDescent="0.35">
      <c r="N190" s="53"/>
      <c r="Q190"/>
    </row>
    <row r="191" spans="14:17" x14ac:dyDescent="0.35">
      <c r="N191" s="53"/>
      <c r="Q191"/>
    </row>
    <row r="192" spans="14:17" x14ac:dyDescent="0.35">
      <c r="N192" s="53"/>
      <c r="Q192"/>
    </row>
    <row r="193" spans="14:17" x14ac:dyDescent="0.35">
      <c r="N193" s="53"/>
      <c r="Q193"/>
    </row>
    <row r="194" spans="14:17" x14ac:dyDescent="0.35">
      <c r="N194" s="53"/>
      <c r="Q194"/>
    </row>
    <row r="195" spans="14:17" x14ac:dyDescent="0.35">
      <c r="N195" s="53"/>
      <c r="Q195"/>
    </row>
    <row r="196" spans="14:17" x14ac:dyDescent="0.35">
      <c r="N196" s="53"/>
      <c r="Q196"/>
    </row>
    <row r="197" spans="14:17" x14ac:dyDescent="0.35">
      <c r="N197" s="53"/>
      <c r="Q197"/>
    </row>
    <row r="198" spans="14:17" x14ac:dyDescent="0.35">
      <c r="N198" s="53"/>
      <c r="Q198"/>
    </row>
    <row r="199" spans="14:17" x14ac:dyDescent="0.35">
      <c r="N199" s="53"/>
      <c r="Q199"/>
    </row>
    <row r="200" spans="14:17" x14ac:dyDescent="0.35">
      <c r="N200" s="53"/>
      <c r="Q200"/>
    </row>
    <row r="201" spans="14:17" x14ac:dyDescent="0.35">
      <c r="N201" s="53"/>
      <c r="Q201"/>
    </row>
    <row r="202" spans="14:17" x14ac:dyDescent="0.35">
      <c r="N202" s="53"/>
      <c r="Q202"/>
    </row>
    <row r="203" spans="14:17" x14ac:dyDescent="0.35">
      <c r="N203" s="53"/>
      <c r="Q203"/>
    </row>
    <row r="204" spans="14:17" x14ac:dyDescent="0.35">
      <c r="N204" s="53"/>
      <c r="Q204"/>
    </row>
    <row r="205" spans="14:17" x14ac:dyDescent="0.35">
      <c r="N205" s="53"/>
      <c r="Q205"/>
    </row>
    <row r="206" spans="14:17" x14ac:dyDescent="0.35">
      <c r="N206" s="53"/>
      <c r="Q206"/>
    </row>
    <row r="207" spans="14:17" x14ac:dyDescent="0.35">
      <c r="N207" s="53"/>
      <c r="Q207"/>
    </row>
    <row r="208" spans="14:17" x14ac:dyDescent="0.35">
      <c r="N208" s="53"/>
      <c r="Q208"/>
    </row>
    <row r="209" spans="14:17" x14ac:dyDescent="0.35">
      <c r="N209" s="53"/>
      <c r="Q209"/>
    </row>
    <row r="210" spans="14:17" x14ac:dyDescent="0.35">
      <c r="N210" s="53"/>
      <c r="Q210"/>
    </row>
    <row r="211" spans="14:17" x14ac:dyDescent="0.35">
      <c r="N211" s="53"/>
      <c r="Q211"/>
    </row>
    <row r="212" spans="14:17" x14ac:dyDescent="0.35">
      <c r="N212" s="53"/>
      <c r="Q212"/>
    </row>
    <row r="213" spans="14:17" x14ac:dyDescent="0.35">
      <c r="N213" s="53"/>
      <c r="Q213"/>
    </row>
    <row r="214" spans="14:17" x14ac:dyDescent="0.35">
      <c r="N214" s="53"/>
      <c r="Q214"/>
    </row>
    <row r="215" spans="14:17" x14ac:dyDescent="0.35">
      <c r="N215" s="53"/>
      <c r="Q215"/>
    </row>
    <row r="216" spans="14:17" x14ac:dyDescent="0.35">
      <c r="N216" s="53"/>
      <c r="Q216"/>
    </row>
    <row r="217" spans="14:17" x14ac:dyDescent="0.35">
      <c r="N217" s="53"/>
      <c r="Q217"/>
    </row>
    <row r="218" spans="14:17" x14ac:dyDescent="0.35">
      <c r="N218" s="53"/>
      <c r="Q218"/>
    </row>
    <row r="219" spans="14:17" x14ac:dyDescent="0.35">
      <c r="N219" s="53"/>
      <c r="Q219"/>
    </row>
    <row r="220" spans="14:17" x14ac:dyDescent="0.35">
      <c r="N220" s="53"/>
      <c r="Q220"/>
    </row>
    <row r="221" spans="14:17" x14ac:dyDescent="0.35">
      <c r="N221" s="53"/>
      <c r="Q221"/>
    </row>
    <row r="222" spans="14:17" x14ac:dyDescent="0.35">
      <c r="N222" s="53"/>
      <c r="Q222"/>
    </row>
    <row r="223" spans="14:17" x14ac:dyDescent="0.35">
      <c r="N223" s="53"/>
      <c r="Q223"/>
    </row>
    <row r="224" spans="14:17" x14ac:dyDescent="0.35">
      <c r="N224" s="53"/>
      <c r="Q224"/>
    </row>
    <row r="225" spans="14:17" x14ac:dyDescent="0.35">
      <c r="N225" s="53"/>
      <c r="Q225"/>
    </row>
    <row r="226" spans="14:17" x14ac:dyDescent="0.35">
      <c r="N226" s="53"/>
      <c r="Q226"/>
    </row>
    <row r="227" spans="14:17" x14ac:dyDescent="0.35">
      <c r="N227" s="53"/>
      <c r="Q227"/>
    </row>
    <row r="228" spans="14:17" x14ac:dyDescent="0.35">
      <c r="N228" s="53"/>
      <c r="Q228"/>
    </row>
    <row r="229" spans="14:17" x14ac:dyDescent="0.35">
      <c r="N229" s="53"/>
      <c r="Q229"/>
    </row>
    <row r="230" spans="14:17" x14ac:dyDescent="0.35">
      <c r="N230" s="53"/>
      <c r="Q230"/>
    </row>
    <row r="231" spans="14:17" x14ac:dyDescent="0.35">
      <c r="N231" s="53"/>
      <c r="Q231"/>
    </row>
    <row r="232" spans="14:17" x14ac:dyDescent="0.35">
      <c r="N232" s="53"/>
      <c r="Q232"/>
    </row>
    <row r="233" spans="14:17" x14ac:dyDescent="0.35">
      <c r="N233" s="53"/>
      <c r="Q233"/>
    </row>
    <row r="234" spans="14:17" x14ac:dyDescent="0.35">
      <c r="N234" s="53"/>
      <c r="Q234"/>
    </row>
    <row r="235" spans="14:17" x14ac:dyDescent="0.35">
      <c r="N235" s="53"/>
      <c r="Q235"/>
    </row>
    <row r="236" spans="14:17" x14ac:dyDescent="0.35">
      <c r="N236" s="53"/>
      <c r="Q236"/>
    </row>
    <row r="237" spans="14:17" x14ac:dyDescent="0.35">
      <c r="N237" s="53"/>
      <c r="Q237"/>
    </row>
    <row r="238" spans="14:17" x14ac:dyDescent="0.35">
      <c r="N238" s="53"/>
      <c r="Q238"/>
    </row>
    <row r="239" spans="14:17" x14ac:dyDescent="0.35">
      <c r="N239" s="53"/>
      <c r="Q239"/>
    </row>
    <row r="240" spans="14:17" x14ac:dyDescent="0.35">
      <c r="N240" s="53"/>
      <c r="Q240"/>
    </row>
    <row r="241" spans="14:17" x14ac:dyDescent="0.35">
      <c r="N241" s="53"/>
      <c r="Q241"/>
    </row>
    <row r="242" spans="14:17" x14ac:dyDescent="0.35">
      <c r="N242" s="53"/>
      <c r="Q242"/>
    </row>
    <row r="243" spans="14:17" x14ac:dyDescent="0.35">
      <c r="N243" s="53"/>
      <c r="Q243"/>
    </row>
    <row r="244" spans="14:17" x14ac:dyDescent="0.35">
      <c r="N244" s="53"/>
      <c r="Q244"/>
    </row>
    <row r="245" spans="14:17" x14ac:dyDescent="0.35">
      <c r="N245" s="53"/>
      <c r="Q245"/>
    </row>
    <row r="246" spans="14:17" x14ac:dyDescent="0.35">
      <c r="N246" s="53"/>
      <c r="Q246"/>
    </row>
    <row r="247" spans="14:17" x14ac:dyDescent="0.35">
      <c r="N247" s="53"/>
      <c r="Q247"/>
    </row>
    <row r="248" spans="14:17" x14ac:dyDescent="0.35">
      <c r="N248" s="53"/>
      <c r="Q248"/>
    </row>
    <row r="249" spans="14:17" x14ac:dyDescent="0.35">
      <c r="N249" s="53"/>
      <c r="Q249"/>
    </row>
    <row r="250" spans="14:17" x14ac:dyDescent="0.35">
      <c r="N250" s="53"/>
      <c r="Q250"/>
    </row>
    <row r="251" spans="14:17" x14ac:dyDescent="0.35">
      <c r="N251" s="53"/>
      <c r="Q251"/>
    </row>
    <row r="252" spans="14:17" x14ac:dyDescent="0.35">
      <c r="N252" s="53"/>
      <c r="Q252"/>
    </row>
    <row r="253" spans="14:17" x14ac:dyDescent="0.35">
      <c r="N253" s="53"/>
      <c r="Q253"/>
    </row>
    <row r="254" spans="14:17" x14ac:dyDescent="0.35">
      <c r="N254" s="53"/>
      <c r="Q254"/>
    </row>
    <row r="255" spans="14:17" x14ac:dyDescent="0.35">
      <c r="N255" s="53"/>
      <c r="Q255"/>
    </row>
    <row r="256" spans="14:17" x14ac:dyDescent="0.35">
      <c r="N256" s="53"/>
      <c r="Q256"/>
    </row>
    <row r="257" spans="14:17" x14ac:dyDescent="0.35">
      <c r="N257" s="53"/>
      <c r="Q257"/>
    </row>
    <row r="258" spans="14:17" x14ac:dyDescent="0.35">
      <c r="N258" s="53"/>
      <c r="Q258"/>
    </row>
    <row r="259" spans="14:17" x14ac:dyDescent="0.35">
      <c r="N259" s="53"/>
      <c r="Q259"/>
    </row>
    <row r="260" spans="14:17" x14ac:dyDescent="0.35">
      <c r="N260" s="53"/>
      <c r="Q260"/>
    </row>
    <row r="261" spans="14:17" x14ac:dyDescent="0.35">
      <c r="N261" s="53"/>
      <c r="Q261"/>
    </row>
    <row r="262" spans="14:17" x14ac:dyDescent="0.35">
      <c r="N262" s="53"/>
      <c r="Q262"/>
    </row>
    <row r="263" spans="14:17" x14ac:dyDescent="0.35">
      <c r="N263" s="53"/>
      <c r="Q263"/>
    </row>
    <row r="264" spans="14:17" x14ac:dyDescent="0.35">
      <c r="N264" s="53"/>
      <c r="Q264"/>
    </row>
    <row r="265" spans="14:17" x14ac:dyDescent="0.35">
      <c r="N265" s="53"/>
      <c r="Q265"/>
    </row>
    <row r="266" spans="14:17" x14ac:dyDescent="0.35">
      <c r="N266" s="53"/>
      <c r="Q266"/>
    </row>
    <row r="267" spans="14:17" x14ac:dyDescent="0.35">
      <c r="N267" s="53"/>
      <c r="Q267"/>
    </row>
    <row r="268" spans="14:17" x14ac:dyDescent="0.35">
      <c r="N268" s="53"/>
      <c r="Q268"/>
    </row>
    <row r="269" spans="14:17" x14ac:dyDescent="0.35">
      <c r="N269" s="53"/>
      <c r="Q269"/>
    </row>
    <row r="270" spans="14:17" x14ac:dyDescent="0.35">
      <c r="N270" s="53"/>
      <c r="Q270"/>
    </row>
    <row r="271" spans="14:17" x14ac:dyDescent="0.35">
      <c r="N271" s="53"/>
      <c r="Q271"/>
    </row>
    <row r="272" spans="14:17" x14ac:dyDescent="0.35">
      <c r="N272" s="53"/>
      <c r="Q272"/>
    </row>
    <row r="273" spans="14:17" x14ac:dyDescent="0.35">
      <c r="N273" s="53"/>
      <c r="Q273"/>
    </row>
    <row r="274" spans="14:17" x14ac:dyDescent="0.35">
      <c r="N274" s="53"/>
      <c r="Q274"/>
    </row>
    <row r="275" spans="14:17" x14ac:dyDescent="0.35">
      <c r="N275" s="53"/>
      <c r="Q275"/>
    </row>
    <row r="276" spans="14:17" x14ac:dyDescent="0.35">
      <c r="N276" s="53"/>
      <c r="Q276"/>
    </row>
    <row r="277" spans="14:17" x14ac:dyDescent="0.35">
      <c r="N277" s="53"/>
      <c r="Q277"/>
    </row>
    <row r="278" spans="14:17" x14ac:dyDescent="0.35">
      <c r="N278" s="53"/>
      <c r="Q278"/>
    </row>
    <row r="279" spans="14:17" x14ac:dyDescent="0.35">
      <c r="N279" s="53"/>
      <c r="Q279"/>
    </row>
    <row r="280" spans="14:17" x14ac:dyDescent="0.35">
      <c r="N280" s="53"/>
      <c r="Q280"/>
    </row>
    <row r="281" spans="14:17" x14ac:dyDescent="0.35">
      <c r="N281" s="53"/>
      <c r="Q281"/>
    </row>
    <row r="282" spans="14:17" x14ac:dyDescent="0.35">
      <c r="N282" s="53"/>
      <c r="Q282"/>
    </row>
    <row r="283" spans="14:17" x14ac:dyDescent="0.35">
      <c r="N283" s="53"/>
      <c r="Q283"/>
    </row>
    <row r="284" spans="14:17" x14ac:dyDescent="0.35">
      <c r="N284" s="53"/>
      <c r="Q284"/>
    </row>
    <row r="285" spans="14:17" x14ac:dyDescent="0.35">
      <c r="N285" s="53"/>
      <c r="Q285"/>
    </row>
    <row r="286" spans="14:17" x14ac:dyDescent="0.35">
      <c r="N286" s="53"/>
      <c r="Q286"/>
    </row>
    <row r="287" spans="14:17" x14ac:dyDescent="0.35">
      <c r="N287" s="53"/>
      <c r="Q287"/>
    </row>
    <row r="288" spans="14:17" x14ac:dyDescent="0.35">
      <c r="N288" s="53"/>
      <c r="Q288"/>
    </row>
    <row r="289" spans="14:17" x14ac:dyDescent="0.35">
      <c r="N289" s="53"/>
      <c r="Q289"/>
    </row>
    <row r="290" spans="14:17" x14ac:dyDescent="0.35">
      <c r="N290" s="53"/>
      <c r="Q290"/>
    </row>
    <row r="291" spans="14:17" x14ac:dyDescent="0.35">
      <c r="N291" s="53"/>
      <c r="Q291"/>
    </row>
    <row r="292" spans="14:17" x14ac:dyDescent="0.35">
      <c r="N292" s="53"/>
      <c r="Q292"/>
    </row>
    <row r="293" spans="14:17" x14ac:dyDescent="0.35">
      <c r="N293" s="53"/>
      <c r="Q293"/>
    </row>
    <row r="294" spans="14:17" x14ac:dyDescent="0.35">
      <c r="N294" s="53"/>
      <c r="Q294"/>
    </row>
    <row r="295" spans="14:17" x14ac:dyDescent="0.35">
      <c r="N295" s="53"/>
      <c r="Q295"/>
    </row>
    <row r="296" spans="14:17" x14ac:dyDescent="0.35">
      <c r="N296" s="53"/>
      <c r="Q296"/>
    </row>
    <row r="297" spans="14:17" x14ac:dyDescent="0.35">
      <c r="N297" s="53"/>
      <c r="Q297"/>
    </row>
    <row r="298" spans="14:17" x14ac:dyDescent="0.35">
      <c r="N298" s="53"/>
      <c r="Q298"/>
    </row>
    <row r="299" spans="14:17" x14ac:dyDescent="0.35">
      <c r="N299" s="53"/>
      <c r="Q299"/>
    </row>
    <row r="300" spans="14:17" x14ac:dyDescent="0.35">
      <c r="N300" s="53"/>
      <c r="Q300"/>
    </row>
    <row r="301" spans="14:17" x14ac:dyDescent="0.35">
      <c r="N301" s="53"/>
      <c r="Q301"/>
    </row>
    <row r="302" spans="14:17" x14ac:dyDescent="0.35">
      <c r="N302" s="53"/>
      <c r="Q302"/>
    </row>
    <row r="303" spans="14:17" x14ac:dyDescent="0.35">
      <c r="N303" s="53"/>
      <c r="Q303"/>
    </row>
    <row r="304" spans="14:17" x14ac:dyDescent="0.35">
      <c r="N304" s="53"/>
      <c r="Q304"/>
    </row>
    <row r="305" spans="14:17" x14ac:dyDescent="0.35">
      <c r="N305" s="53"/>
      <c r="Q305"/>
    </row>
    <row r="306" spans="14:17" x14ac:dyDescent="0.35">
      <c r="N306" s="53"/>
      <c r="Q306"/>
    </row>
    <row r="307" spans="14:17" x14ac:dyDescent="0.35">
      <c r="N307" s="53"/>
      <c r="Q307"/>
    </row>
    <row r="308" spans="14:17" x14ac:dyDescent="0.35">
      <c r="N308" s="53"/>
      <c r="Q308"/>
    </row>
    <row r="309" spans="14:17" x14ac:dyDescent="0.35">
      <c r="N309" s="53"/>
      <c r="Q309"/>
    </row>
    <row r="310" spans="14:17" x14ac:dyDescent="0.35">
      <c r="N310" s="53"/>
      <c r="Q310"/>
    </row>
    <row r="311" spans="14:17" x14ac:dyDescent="0.35">
      <c r="N311" s="53"/>
      <c r="Q311"/>
    </row>
    <row r="312" spans="14:17" x14ac:dyDescent="0.35">
      <c r="N312" s="53"/>
      <c r="Q312"/>
    </row>
    <row r="313" spans="14:17" x14ac:dyDescent="0.35">
      <c r="N313" s="53"/>
      <c r="Q313"/>
    </row>
    <row r="314" spans="14:17" x14ac:dyDescent="0.35">
      <c r="N314" s="53"/>
      <c r="Q314"/>
    </row>
    <row r="315" spans="14:17" x14ac:dyDescent="0.35">
      <c r="N315" s="53"/>
      <c r="Q315"/>
    </row>
    <row r="316" spans="14:17" x14ac:dyDescent="0.35">
      <c r="N316" s="53"/>
      <c r="Q316"/>
    </row>
    <row r="317" spans="14:17" x14ac:dyDescent="0.35">
      <c r="N317" s="53"/>
      <c r="Q317"/>
    </row>
    <row r="318" spans="14:17" x14ac:dyDescent="0.35">
      <c r="N318" s="53"/>
      <c r="Q318"/>
    </row>
    <row r="319" spans="14:17" x14ac:dyDescent="0.35">
      <c r="N319" s="53"/>
      <c r="Q319"/>
    </row>
    <row r="320" spans="14:17" x14ac:dyDescent="0.35">
      <c r="N320" s="53"/>
      <c r="Q320"/>
    </row>
    <row r="321" spans="14:17" x14ac:dyDescent="0.35">
      <c r="N321" s="53"/>
      <c r="Q321"/>
    </row>
    <row r="322" spans="14:17" x14ac:dyDescent="0.35">
      <c r="N322" s="53"/>
      <c r="Q322"/>
    </row>
    <row r="323" spans="14:17" x14ac:dyDescent="0.35">
      <c r="N323" s="53"/>
      <c r="Q323"/>
    </row>
    <row r="324" spans="14:17" x14ac:dyDescent="0.35">
      <c r="N324" s="53"/>
      <c r="Q324"/>
    </row>
    <row r="325" spans="14:17" x14ac:dyDescent="0.35">
      <c r="N325" s="53"/>
      <c r="Q325"/>
    </row>
    <row r="326" spans="14:17" x14ac:dyDescent="0.35">
      <c r="N326" s="53"/>
      <c r="Q326"/>
    </row>
    <row r="327" spans="14:17" x14ac:dyDescent="0.35">
      <c r="N327" s="53"/>
      <c r="Q327"/>
    </row>
    <row r="328" spans="14:17" x14ac:dyDescent="0.35">
      <c r="N328" s="53"/>
      <c r="Q328"/>
    </row>
    <row r="329" spans="14:17" x14ac:dyDescent="0.35">
      <c r="N329" s="53"/>
      <c r="Q329"/>
    </row>
    <row r="330" spans="14:17" x14ac:dyDescent="0.35">
      <c r="N330" s="53"/>
      <c r="Q330"/>
    </row>
    <row r="331" spans="14:17" x14ac:dyDescent="0.35">
      <c r="N331" s="53"/>
      <c r="Q331"/>
    </row>
    <row r="332" spans="14:17" x14ac:dyDescent="0.35">
      <c r="N332" s="53"/>
      <c r="Q332"/>
    </row>
    <row r="333" spans="14:17" x14ac:dyDescent="0.35">
      <c r="N333" s="53"/>
      <c r="Q333"/>
    </row>
    <row r="334" spans="14:17" x14ac:dyDescent="0.35">
      <c r="N334" s="53"/>
      <c r="Q334"/>
    </row>
    <row r="335" spans="14:17" x14ac:dyDescent="0.35">
      <c r="N335" s="53"/>
      <c r="Q335"/>
    </row>
    <row r="336" spans="14:17" x14ac:dyDescent="0.35">
      <c r="N336" s="53"/>
      <c r="Q336"/>
    </row>
    <row r="337" spans="14:17" x14ac:dyDescent="0.35">
      <c r="N337" s="53"/>
      <c r="Q337"/>
    </row>
    <row r="338" spans="14:17" x14ac:dyDescent="0.35">
      <c r="N338" s="53"/>
      <c r="Q338"/>
    </row>
    <row r="339" spans="14:17" x14ac:dyDescent="0.35">
      <c r="N339" s="53"/>
      <c r="Q339"/>
    </row>
    <row r="340" spans="14:17" x14ac:dyDescent="0.35">
      <c r="N340" s="53"/>
      <c r="Q340"/>
    </row>
    <row r="341" spans="14:17" x14ac:dyDescent="0.35">
      <c r="N341" s="53"/>
      <c r="Q341"/>
    </row>
    <row r="342" spans="14:17" x14ac:dyDescent="0.35">
      <c r="N342" s="53"/>
      <c r="Q342"/>
    </row>
    <row r="343" spans="14:17" x14ac:dyDescent="0.35">
      <c r="N343" s="53"/>
      <c r="Q343"/>
    </row>
    <row r="344" spans="14:17" x14ac:dyDescent="0.35">
      <c r="N344" s="53"/>
      <c r="Q344"/>
    </row>
    <row r="345" spans="14:17" x14ac:dyDescent="0.35">
      <c r="N345" s="53"/>
      <c r="Q345"/>
    </row>
    <row r="346" spans="14:17" x14ac:dyDescent="0.35">
      <c r="N346" s="53"/>
      <c r="Q346"/>
    </row>
    <row r="347" spans="14:17" x14ac:dyDescent="0.35">
      <c r="N347" s="53"/>
      <c r="Q347"/>
    </row>
    <row r="348" spans="14:17" x14ac:dyDescent="0.35">
      <c r="N348" s="53"/>
      <c r="Q348"/>
    </row>
    <row r="349" spans="14:17" x14ac:dyDescent="0.35">
      <c r="N349" s="53"/>
      <c r="Q349"/>
    </row>
    <row r="350" spans="14:17" x14ac:dyDescent="0.35">
      <c r="N350" s="53"/>
      <c r="Q350"/>
    </row>
    <row r="351" spans="14:17" x14ac:dyDescent="0.35">
      <c r="N351" s="53"/>
      <c r="Q351"/>
    </row>
    <row r="352" spans="14:17" x14ac:dyDescent="0.35">
      <c r="N352" s="53"/>
      <c r="Q352"/>
    </row>
    <row r="353" spans="14:17" x14ac:dyDescent="0.35">
      <c r="N353" s="53"/>
      <c r="Q353"/>
    </row>
    <row r="354" spans="14:17" x14ac:dyDescent="0.35">
      <c r="N354" s="53"/>
      <c r="Q354"/>
    </row>
    <row r="355" spans="14:17" x14ac:dyDescent="0.35">
      <c r="N355" s="53"/>
      <c r="Q355"/>
    </row>
    <row r="356" spans="14:17" x14ac:dyDescent="0.35">
      <c r="N356" s="53"/>
      <c r="Q356"/>
    </row>
    <row r="357" spans="14:17" x14ac:dyDescent="0.35">
      <c r="N357" s="53"/>
      <c r="Q357"/>
    </row>
    <row r="358" spans="14:17" x14ac:dyDescent="0.35">
      <c r="N358" s="53"/>
      <c r="Q358"/>
    </row>
    <row r="359" spans="14:17" x14ac:dyDescent="0.35">
      <c r="N359" s="53"/>
      <c r="Q359"/>
    </row>
    <row r="360" spans="14:17" x14ac:dyDescent="0.35">
      <c r="N360" s="53"/>
      <c r="Q360"/>
    </row>
    <row r="361" spans="14:17" x14ac:dyDescent="0.35">
      <c r="N361" s="53"/>
      <c r="Q361"/>
    </row>
    <row r="362" spans="14:17" x14ac:dyDescent="0.35">
      <c r="N362" s="53"/>
      <c r="Q362"/>
    </row>
    <row r="363" spans="14:17" x14ac:dyDescent="0.35">
      <c r="N363" s="53"/>
      <c r="Q363"/>
    </row>
    <row r="364" spans="14:17" x14ac:dyDescent="0.35">
      <c r="N364" s="53"/>
      <c r="Q364"/>
    </row>
    <row r="365" spans="14:17" x14ac:dyDescent="0.35">
      <c r="N365" s="53"/>
      <c r="Q365"/>
    </row>
    <row r="366" spans="14:17" x14ac:dyDescent="0.35">
      <c r="N366" s="53"/>
      <c r="Q366"/>
    </row>
    <row r="367" spans="14:17" x14ac:dyDescent="0.35">
      <c r="N367" s="53"/>
      <c r="Q367"/>
    </row>
    <row r="368" spans="14:17" x14ac:dyDescent="0.35">
      <c r="N368" s="53"/>
      <c r="Q368"/>
    </row>
    <row r="369" spans="14:17" x14ac:dyDescent="0.35">
      <c r="N369" s="53"/>
      <c r="Q369"/>
    </row>
    <row r="370" spans="14:17" x14ac:dyDescent="0.35">
      <c r="N370" s="53"/>
      <c r="Q370"/>
    </row>
    <row r="371" spans="14:17" x14ac:dyDescent="0.35">
      <c r="N371" s="53"/>
      <c r="Q371"/>
    </row>
    <row r="372" spans="14:17" x14ac:dyDescent="0.35">
      <c r="N372" s="53"/>
      <c r="Q372"/>
    </row>
    <row r="373" spans="14:17" x14ac:dyDescent="0.35">
      <c r="N373" s="53"/>
      <c r="Q373"/>
    </row>
    <row r="374" spans="14:17" x14ac:dyDescent="0.35">
      <c r="N374" s="53"/>
      <c r="Q374"/>
    </row>
    <row r="375" spans="14:17" x14ac:dyDescent="0.35">
      <c r="N375" s="53"/>
      <c r="Q375"/>
    </row>
    <row r="376" spans="14:17" x14ac:dyDescent="0.35">
      <c r="N376" s="53"/>
      <c r="Q376"/>
    </row>
    <row r="377" spans="14:17" x14ac:dyDescent="0.35">
      <c r="N377" s="53"/>
      <c r="Q377"/>
    </row>
    <row r="378" spans="14:17" x14ac:dyDescent="0.35">
      <c r="N378" s="53"/>
      <c r="Q378"/>
    </row>
    <row r="379" spans="14:17" x14ac:dyDescent="0.35">
      <c r="N379" s="53"/>
      <c r="Q379"/>
    </row>
    <row r="380" spans="14:17" x14ac:dyDescent="0.35">
      <c r="N380" s="53"/>
      <c r="Q380"/>
    </row>
    <row r="381" spans="14:17" x14ac:dyDescent="0.35">
      <c r="N381" s="53"/>
      <c r="Q381"/>
    </row>
    <row r="382" spans="14:17" x14ac:dyDescent="0.35">
      <c r="N382" s="53"/>
      <c r="Q382"/>
    </row>
    <row r="383" spans="14:17" x14ac:dyDescent="0.35">
      <c r="N383" s="53"/>
      <c r="Q383"/>
    </row>
    <row r="384" spans="14:17" x14ac:dyDescent="0.35">
      <c r="N384" s="53"/>
      <c r="Q384"/>
    </row>
    <row r="385" spans="14:17" x14ac:dyDescent="0.35">
      <c r="N385" s="53"/>
      <c r="Q385"/>
    </row>
    <row r="386" spans="14:17" x14ac:dyDescent="0.35">
      <c r="N386" s="53"/>
      <c r="Q386"/>
    </row>
    <row r="387" spans="14:17" x14ac:dyDescent="0.35">
      <c r="N387" s="53"/>
      <c r="Q387"/>
    </row>
    <row r="388" spans="14:17" x14ac:dyDescent="0.35">
      <c r="N388" s="53"/>
      <c r="Q388"/>
    </row>
    <row r="389" spans="14:17" x14ac:dyDescent="0.35">
      <c r="N389" s="53"/>
      <c r="Q389"/>
    </row>
    <row r="390" spans="14:17" x14ac:dyDescent="0.35">
      <c r="N390" s="53"/>
      <c r="Q390"/>
    </row>
    <row r="391" spans="14:17" x14ac:dyDescent="0.35">
      <c r="N391" s="53"/>
      <c r="Q391"/>
    </row>
    <row r="392" spans="14:17" x14ac:dyDescent="0.35">
      <c r="N392" s="53"/>
      <c r="Q392"/>
    </row>
    <row r="393" spans="14:17" x14ac:dyDescent="0.35">
      <c r="N393" s="53"/>
      <c r="Q393"/>
    </row>
    <row r="394" spans="14:17" x14ac:dyDescent="0.35">
      <c r="N394" s="53"/>
      <c r="Q394"/>
    </row>
    <row r="395" spans="14:17" x14ac:dyDescent="0.35">
      <c r="N395" s="53"/>
      <c r="Q395"/>
    </row>
    <row r="396" spans="14:17" x14ac:dyDescent="0.35">
      <c r="N396" s="53"/>
      <c r="Q396"/>
    </row>
    <row r="397" spans="14:17" x14ac:dyDescent="0.35">
      <c r="N397" s="53"/>
      <c r="Q397"/>
    </row>
    <row r="398" spans="14:17" x14ac:dyDescent="0.35">
      <c r="N398" s="53"/>
      <c r="Q398"/>
    </row>
    <row r="399" spans="14:17" x14ac:dyDescent="0.35">
      <c r="N399" s="53"/>
      <c r="Q399"/>
    </row>
    <row r="400" spans="14:17" x14ac:dyDescent="0.35">
      <c r="N400" s="53"/>
      <c r="Q400"/>
    </row>
    <row r="401" spans="14:17" x14ac:dyDescent="0.35">
      <c r="N401" s="53"/>
      <c r="Q401"/>
    </row>
    <row r="402" spans="14:17" x14ac:dyDescent="0.35">
      <c r="N402" s="53"/>
      <c r="Q402"/>
    </row>
    <row r="403" spans="14:17" x14ac:dyDescent="0.35">
      <c r="N403" s="53"/>
      <c r="Q403"/>
    </row>
    <row r="404" spans="14:17" x14ac:dyDescent="0.35">
      <c r="N404" s="53"/>
      <c r="Q404"/>
    </row>
    <row r="405" spans="14:17" x14ac:dyDescent="0.35">
      <c r="N405" s="53"/>
      <c r="Q405"/>
    </row>
    <row r="406" spans="14:17" x14ac:dyDescent="0.35">
      <c r="N406" s="53"/>
      <c r="Q406"/>
    </row>
    <row r="407" spans="14:17" x14ac:dyDescent="0.35">
      <c r="N407" s="53"/>
      <c r="Q407"/>
    </row>
    <row r="408" spans="14:17" x14ac:dyDescent="0.35">
      <c r="N408" s="53"/>
      <c r="Q408"/>
    </row>
    <row r="409" spans="14:17" x14ac:dyDescent="0.35">
      <c r="N409" s="53"/>
      <c r="Q409"/>
    </row>
    <row r="410" spans="14:17" x14ac:dyDescent="0.35">
      <c r="N410" s="53"/>
      <c r="Q410"/>
    </row>
    <row r="411" spans="14:17" x14ac:dyDescent="0.35">
      <c r="N411" s="53"/>
      <c r="Q411"/>
    </row>
    <row r="412" spans="14:17" x14ac:dyDescent="0.35">
      <c r="N412" s="53"/>
      <c r="Q412"/>
    </row>
    <row r="413" spans="14:17" x14ac:dyDescent="0.35">
      <c r="N413" s="53"/>
      <c r="Q413"/>
    </row>
    <row r="414" spans="14:17" x14ac:dyDescent="0.35">
      <c r="N414" s="53"/>
      <c r="Q414"/>
    </row>
    <row r="415" spans="14:17" x14ac:dyDescent="0.35">
      <c r="N415" s="53"/>
      <c r="Q415"/>
    </row>
    <row r="416" spans="14:17" x14ac:dyDescent="0.35">
      <c r="N416" s="53"/>
      <c r="Q416"/>
    </row>
    <row r="417" spans="14:17" x14ac:dyDescent="0.35">
      <c r="N417" s="53"/>
      <c r="Q417"/>
    </row>
    <row r="418" spans="14:17" x14ac:dyDescent="0.35">
      <c r="N418" s="53"/>
      <c r="Q418"/>
    </row>
    <row r="419" spans="14:17" x14ac:dyDescent="0.35">
      <c r="N419" s="53"/>
      <c r="Q419"/>
    </row>
    <row r="420" spans="14:17" x14ac:dyDescent="0.35">
      <c r="N420" s="53"/>
      <c r="Q420"/>
    </row>
    <row r="421" spans="14:17" x14ac:dyDescent="0.35">
      <c r="N421" s="53"/>
      <c r="Q421"/>
    </row>
    <row r="422" spans="14:17" x14ac:dyDescent="0.35">
      <c r="N422" s="53"/>
      <c r="Q422"/>
    </row>
    <row r="423" spans="14:17" x14ac:dyDescent="0.35">
      <c r="N423" s="53"/>
      <c r="Q423"/>
    </row>
    <row r="424" spans="14:17" x14ac:dyDescent="0.35">
      <c r="N424" s="53"/>
      <c r="Q424"/>
    </row>
    <row r="425" spans="14:17" x14ac:dyDescent="0.35">
      <c r="N425" s="53"/>
      <c r="Q425"/>
    </row>
    <row r="426" spans="14:17" x14ac:dyDescent="0.35">
      <c r="N426" s="53"/>
      <c r="Q426"/>
    </row>
    <row r="427" spans="14:17" x14ac:dyDescent="0.35">
      <c r="N427" s="53"/>
      <c r="Q427"/>
    </row>
    <row r="428" spans="14:17" x14ac:dyDescent="0.35">
      <c r="N428" s="53"/>
      <c r="Q428"/>
    </row>
    <row r="429" spans="14:17" x14ac:dyDescent="0.35">
      <c r="N429" s="53"/>
      <c r="Q429"/>
    </row>
    <row r="430" spans="14:17" x14ac:dyDescent="0.35">
      <c r="N430" s="53"/>
      <c r="Q430"/>
    </row>
    <row r="431" spans="14:17" x14ac:dyDescent="0.35">
      <c r="N431" s="53"/>
      <c r="Q431"/>
    </row>
    <row r="432" spans="14:17" x14ac:dyDescent="0.35">
      <c r="N432" s="53"/>
      <c r="Q432"/>
    </row>
    <row r="433" spans="14:17" x14ac:dyDescent="0.35">
      <c r="N433" s="53"/>
      <c r="Q433"/>
    </row>
    <row r="434" spans="14:17" x14ac:dyDescent="0.35">
      <c r="N434" s="53"/>
      <c r="Q434"/>
    </row>
    <row r="435" spans="14:17" x14ac:dyDescent="0.35">
      <c r="N435" s="53"/>
      <c r="Q435"/>
    </row>
    <row r="436" spans="14:17" x14ac:dyDescent="0.35">
      <c r="N436" s="53"/>
      <c r="Q436"/>
    </row>
    <row r="437" spans="14:17" x14ac:dyDescent="0.35">
      <c r="N437" s="53"/>
      <c r="Q437"/>
    </row>
    <row r="438" spans="14:17" x14ac:dyDescent="0.35">
      <c r="N438" s="53"/>
      <c r="Q438"/>
    </row>
    <row r="439" spans="14:17" x14ac:dyDescent="0.35">
      <c r="N439" s="53"/>
      <c r="Q439"/>
    </row>
    <row r="440" spans="14:17" x14ac:dyDescent="0.35">
      <c r="N440" s="53"/>
      <c r="Q440"/>
    </row>
    <row r="441" spans="14:17" x14ac:dyDescent="0.35">
      <c r="N441" s="53"/>
      <c r="Q441"/>
    </row>
    <row r="442" spans="14:17" x14ac:dyDescent="0.35">
      <c r="N442" s="53"/>
      <c r="Q442"/>
    </row>
    <row r="443" spans="14:17" x14ac:dyDescent="0.35">
      <c r="N443" s="53"/>
      <c r="Q443"/>
    </row>
    <row r="444" spans="14:17" x14ac:dyDescent="0.35">
      <c r="N444" s="53"/>
      <c r="Q444"/>
    </row>
    <row r="445" spans="14:17" x14ac:dyDescent="0.35">
      <c r="N445" s="53"/>
      <c r="Q445"/>
    </row>
    <row r="446" spans="14:17" x14ac:dyDescent="0.35">
      <c r="N446" s="53"/>
      <c r="Q446"/>
    </row>
    <row r="447" spans="14:17" x14ac:dyDescent="0.35">
      <c r="N447" s="53"/>
      <c r="Q447"/>
    </row>
    <row r="448" spans="14:17" x14ac:dyDescent="0.35">
      <c r="N448" s="53"/>
      <c r="Q448"/>
    </row>
    <row r="449" spans="14:17" x14ac:dyDescent="0.35">
      <c r="N449" s="53"/>
      <c r="Q449"/>
    </row>
    <row r="450" spans="14:17" x14ac:dyDescent="0.35">
      <c r="N450" s="53"/>
      <c r="Q450"/>
    </row>
    <row r="451" spans="14:17" x14ac:dyDescent="0.35">
      <c r="N451" s="53"/>
      <c r="Q451"/>
    </row>
    <row r="452" spans="14:17" x14ac:dyDescent="0.35">
      <c r="N452" s="53"/>
      <c r="Q452"/>
    </row>
    <row r="453" spans="14:17" x14ac:dyDescent="0.35">
      <c r="N453" s="53"/>
      <c r="Q453"/>
    </row>
    <row r="454" spans="14:17" x14ac:dyDescent="0.35">
      <c r="N454" s="53"/>
      <c r="Q454"/>
    </row>
    <row r="455" spans="14:17" x14ac:dyDescent="0.35">
      <c r="N455" s="53"/>
      <c r="Q455"/>
    </row>
    <row r="456" spans="14:17" x14ac:dyDescent="0.35">
      <c r="N456" s="53"/>
      <c r="Q456"/>
    </row>
    <row r="457" spans="14:17" x14ac:dyDescent="0.35">
      <c r="N457" s="53"/>
      <c r="Q457"/>
    </row>
    <row r="458" spans="14:17" x14ac:dyDescent="0.35">
      <c r="N458" s="53"/>
      <c r="Q458"/>
    </row>
    <row r="459" spans="14:17" x14ac:dyDescent="0.35">
      <c r="N459" s="53"/>
      <c r="Q459"/>
    </row>
    <row r="460" spans="14:17" x14ac:dyDescent="0.35">
      <c r="N460" s="53"/>
      <c r="Q460"/>
    </row>
    <row r="461" spans="14:17" x14ac:dyDescent="0.35">
      <c r="N461" s="53"/>
      <c r="Q461"/>
    </row>
    <row r="462" spans="14:17" x14ac:dyDescent="0.35">
      <c r="N462" s="53"/>
      <c r="Q462"/>
    </row>
    <row r="463" spans="14:17" x14ac:dyDescent="0.35">
      <c r="N463" s="53"/>
      <c r="Q463"/>
    </row>
    <row r="464" spans="14:17" x14ac:dyDescent="0.35">
      <c r="N464" s="53"/>
      <c r="Q464"/>
    </row>
    <row r="465" spans="14:17" x14ac:dyDescent="0.35">
      <c r="N465" s="53"/>
      <c r="Q465"/>
    </row>
    <row r="466" spans="14:17" x14ac:dyDescent="0.35">
      <c r="N466" s="53"/>
      <c r="Q466"/>
    </row>
    <row r="467" spans="14:17" x14ac:dyDescent="0.35">
      <c r="N467" s="53"/>
      <c r="Q467"/>
    </row>
    <row r="468" spans="14:17" x14ac:dyDescent="0.35">
      <c r="N468" s="53"/>
      <c r="Q468"/>
    </row>
    <row r="469" spans="14:17" x14ac:dyDescent="0.35">
      <c r="N469" s="53"/>
      <c r="Q469"/>
    </row>
    <row r="470" spans="14:17" x14ac:dyDescent="0.35">
      <c r="N470" s="53"/>
      <c r="Q470"/>
    </row>
    <row r="471" spans="14:17" x14ac:dyDescent="0.35">
      <c r="N471" s="53"/>
      <c r="Q471"/>
    </row>
    <row r="472" spans="14:17" x14ac:dyDescent="0.35">
      <c r="N472" s="53"/>
      <c r="Q472"/>
    </row>
    <row r="473" spans="14:17" x14ac:dyDescent="0.35">
      <c r="N473" s="53"/>
      <c r="Q473"/>
    </row>
    <row r="474" spans="14:17" x14ac:dyDescent="0.35">
      <c r="N474" s="53"/>
      <c r="Q474"/>
    </row>
    <row r="475" spans="14:17" x14ac:dyDescent="0.35">
      <c r="N475" s="53"/>
      <c r="Q475"/>
    </row>
    <row r="476" spans="14:17" x14ac:dyDescent="0.35">
      <c r="N476" s="53"/>
      <c r="Q476"/>
    </row>
    <row r="477" spans="14:17" x14ac:dyDescent="0.35">
      <c r="N477" s="53"/>
      <c r="Q477"/>
    </row>
    <row r="478" spans="14:17" x14ac:dyDescent="0.35">
      <c r="N478" s="53"/>
      <c r="Q478"/>
    </row>
    <row r="479" spans="14:17" x14ac:dyDescent="0.35">
      <c r="N479" s="53"/>
      <c r="Q479"/>
    </row>
    <row r="480" spans="14:17" x14ac:dyDescent="0.35">
      <c r="N480" s="53"/>
      <c r="Q480"/>
    </row>
    <row r="481" spans="14:17" x14ac:dyDescent="0.35">
      <c r="N481" s="53"/>
      <c r="Q481"/>
    </row>
    <row r="482" spans="14:17" x14ac:dyDescent="0.35">
      <c r="N482" s="53"/>
      <c r="Q482"/>
    </row>
    <row r="483" spans="14:17" x14ac:dyDescent="0.35">
      <c r="N483" s="53"/>
      <c r="Q483"/>
    </row>
    <row r="484" spans="14:17" x14ac:dyDescent="0.35">
      <c r="N484" s="53"/>
      <c r="Q484"/>
    </row>
    <row r="485" spans="14:17" x14ac:dyDescent="0.35">
      <c r="N485" s="53"/>
      <c r="Q485"/>
    </row>
    <row r="486" spans="14:17" x14ac:dyDescent="0.35">
      <c r="N486" s="53"/>
      <c r="Q486"/>
    </row>
    <row r="487" spans="14:17" x14ac:dyDescent="0.35">
      <c r="N487" s="53"/>
      <c r="Q487"/>
    </row>
    <row r="488" spans="14:17" x14ac:dyDescent="0.35">
      <c r="N488" s="53"/>
      <c r="Q488"/>
    </row>
    <row r="489" spans="14:17" x14ac:dyDescent="0.35">
      <c r="N489" s="53"/>
      <c r="Q489"/>
    </row>
    <row r="490" spans="14:17" x14ac:dyDescent="0.35">
      <c r="N490" s="53"/>
      <c r="Q490"/>
    </row>
    <row r="491" spans="14:17" x14ac:dyDescent="0.35">
      <c r="N491" s="53"/>
      <c r="Q491"/>
    </row>
    <row r="492" spans="14:17" x14ac:dyDescent="0.35">
      <c r="N492" s="53"/>
      <c r="Q492"/>
    </row>
    <row r="493" spans="14:17" x14ac:dyDescent="0.35">
      <c r="N493" s="53"/>
      <c r="Q493"/>
    </row>
    <row r="494" spans="14:17" x14ac:dyDescent="0.35">
      <c r="N494" s="53"/>
      <c r="Q494"/>
    </row>
    <row r="495" spans="14:17" x14ac:dyDescent="0.35">
      <c r="N495" s="53"/>
      <c r="Q495"/>
    </row>
    <row r="496" spans="14:17" x14ac:dyDescent="0.35">
      <c r="N496" s="53"/>
      <c r="Q496"/>
    </row>
    <row r="497" spans="14:17" x14ac:dyDescent="0.35">
      <c r="N497" s="53"/>
      <c r="Q497"/>
    </row>
    <row r="498" spans="14:17" x14ac:dyDescent="0.35">
      <c r="N498" s="53"/>
      <c r="Q498"/>
    </row>
    <row r="499" spans="14:17" x14ac:dyDescent="0.35">
      <c r="N499" s="53"/>
      <c r="Q499"/>
    </row>
    <row r="500" spans="14:17" x14ac:dyDescent="0.35">
      <c r="N500" s="53"/>
      <c r="Q500"/>
    </row>
    <row r="501" spans="14:17" x14ac:dyDescent="0.35">
      <c r="N501" s="53"/>
      <c r="Q501"/>
    </row>
    <row r="502" spans="14:17" x14ac:dyDescent="0.35">
      <c r="N502" s="53"/>
      <c r="Q502"/>
    </row>
    <row r="503" spans="14:17" x14ac:dyDescent="0.35">
      <c r="N503" s="53"/>
      <c r="Q503"/>
    </row>
    <row r="504" spans="14:17" x14ac:dyDescent="0.35">
      <c r="N504" s="53"/>
      <c r="Q504"/>
    </row>
    <row r="505" spans="14:17" x14ac:dyDescent="0.35">
      <c r="N505" s="53"/>
      <c r="Q505"/>
    </row>
    <row r="506" spans="14:17" x14ac:dyDescent="0.35">
      <c r="N506" s="53"/>
      <c r="Q506"/>
    </row>
    <row r="507" spans="14:17" x14ac:dyDescent="0.35">
      <c r="N507" s="53"/>
      <c r="Q507"/>
    </row>
    <row r="508" spans="14:17" x14ac:dyDescent="0.35">
      <c r="N508" s="53"/>
      <c r="Q508"/>
    </row>
    <row r="509" spans="14:17" x14ac:dyDescent="0.35">
      <c r="N509" s="53"/>
      <c r="Q509"/>
    </row>
    <row r="510" spans="14:17" x14ac:dyDescent="0.35">
      <c r="N510" s="53"/>
      <c r="Q510"/>
    </row>
    <row r="511" spans="14:17" x14ac:dyDescent="0.35">
      <c r="N511" s="53"/>
      <c r="Q511"/>
    </row>
    <row r="512" spans="14:17" x14ac:dyDescent="0.35">
      <c r="N512" s="53"/>
      <c r="Q512"/>
    </row>
    <row r="513" spans="14:17" x14ac:dyDescent="0.35">
      <c r="N513" s="53"/>
      <c r="Q513"/>
    </row>
    <row r="514" spans="14:17" x14ac:dyDescent="0.35">
      <c r="N514" s="53"/>
      <c r="Q514"/>
    </row>
    <row r="515" spans="14:17" x14ac:dyDescent="0.35">
      <c r="N515" s="53"/>
      <c r="Q515"/>
    </row>
    <row r="516" spans="14:17" x14ac:dyDescent="0.35">
      <c r="N516" s="53"/>
      <c r="Q516"/>
    </row>
    <row r="517" spans="14:17" x14ac:dyDescent="0.35">
      <c r="N517" s="53"/>
      <c r="Q517"/>
    </row>
    <row r="518" spans="14:17" x14ac:dyDescent="0.35">
      <c r="N518" s="53"/>
      <c r="Q518"/>
    </row>
    <row r="519" spans="14:17" x14ac:dyDescent="0.35">
      <c r="N519" s="53"/>
      <c r="Q519"/>
    </row>
    <row r="520" spans="14:17" x14ac:dyDescent="0.35">
      <c r="N520" s="53"/>
      <c r="Q520"/>
    </row>
    <row r="521" spans="14:17" x14ac:dyDescent="0.35">
      <c r="N521" s="53"/>
      <c r="Q521"/>
    </row>
    <row r="522" spans="14:17" x14ac:dyDescent="0.35">
      <c r="N522" s="53"/>
      <c r="Q522"/>
    </row>
    <row r="523" spans="14:17" x14ac:dyDescent="0.35">
      <c r="N523" s="53"/>
      <c r="Q523"/>
    </row>
    <row r="524" spans="14:17" x14ac:dyDescent="0.35">
      <c r="N524" s="53"/>
      <c r="Q524"/>
    </row>
    <row r="525" spans="14:17" x14ac:dyDescent="0.35">
      <c r="N525" s="53"/>
      <c r="Q525"/>
    </row>
    <row r="526" spans="14:17" x14ac:dyDescent="0.35">
      <c r="N526" s="53"/>
      <c r="Q526"/>
    </row>
    <row r="527" spans="14:17" x14ac:dyDescent="0.35">
      <c r="N527" s="53"/>
      <c r="Q527"/>
    </row>
    <row r="528" spans="14:17" x14ac:dyDescent="0.35">
      <c r="N528" s="53"/>
      <c r="Q528"/>
    </row>
    <row r="529" spans="14:17" x14ac:dyDescent="0.35">
      <c r="N529" s="53"/>
      <c r="Q529"/>
    </row>
    <row r="530" spans="14:17" x14ac:dyDescent="0.35">
      <c r="N530" s="53"/>
      <c r="Q530"/>
    </row>
    <row r="531" spans="14:17" x14ac:dyDescent="0.35">
      <c r="N531" s="53"/>
      <c r="Q531"/>
    </row>
    <row r="532" spans="14:17" x14ac:dyDescent="0.35">
      <c r="N532" s="53"/>
      <c r="Q532"/>
    </row>
    <row r="533" spans="14:17" x14ac:dyDescent="0.35">
      <c r="N533" s="53"/>
      <c r="Q533"/>
    </row>
    <row r="534" spans="14:17" x14ac:dyDescent="0.35">
      <c r="N534" s="53"/>
      <c r="Q534"/>
    </row>
    <row r="535" spans="14:17" x14ac:dyDescent="0.35">
      <c r="N535" s="53"/>
      <c r="Q535"/>
    </row>
    <row r="536" spans="14:17" x14ac:dyDescent="0.35">
      <c r="N536" s="53"/>
      <c r="Q536"/>
    </row>
    <row r="537" spans="14:17" x14ac:dyDescent="0.35">
      <c r="N537" s="53"/>
      <c r="Q537"/>
    </row>
    <row r="538" spans="14:17" x14ac:dyDescent="0.35">
      <c r="N538" s="53"/>
      <c r="Q538"/>
    </row>
    <row r="539" spans="14:17" x14ac:dyDescent="0.35">
      <c r="N539" s="53"/>
      <c r="Q539"/>
    </row>
    <row r="540" spans="14:17" x14ac:dyDescent="0.35">
      <c r="N540" s="53"/>
      <c r="Q540"/>
    </row>
    <row r="541" spans="14:17" x14ac:dyDescent="0.35">
      <c r="N541" s="53"/>
      <c r="Q541"/>
    </row>
    <row r="542" spans="14:17" x14ac:dyDescent="0.35">
      <c r="N542" s="53"/>
      <c r="Q542"/>
    </row>
    <row r="543" spans="14:17" x14ac:dyDescent="0.35">
      <c r="N543" s="53"/>
      <c r="Q543"/>
    </row>
    <row r="544" spans="14:17" x14ac:dyDescent="0.35">
      <c r="N544" s="53"/>
      <c r="Q544"/>
    </row>
    <row r="545" spans="14:17" x14ac:dyDescent="0.35">
      <c r="N545" s="53"/>
      <c r="Q545"/>
    </row>
    <row r="546" spans="14:17" x14ac:dyDescent="0.35">
      <c r="N546" s="53"/>
      <c r="Q546"/>
    </row>
    <row r="547" spans="14:17" x14ac:dyDescent="0.35">
      <c r="N547" s="53"/>
      <c r="Q547"/>
    </row>
    <row r="548" spans="14:17" x14ac:dyDescent="0.35">
      <c r="N548" s="53"/>
      <c r="Q548"/>
    </row>
    <row r="549" spans="14:17" x14ac:dyDescent="0.35">
      <c r="N549" s="53"/>
      <c r="Q549"/>
    </row>
    <row r="550" spans="14:17" x14ac:dyDescent="0.35">
      <c r="N550" s="53"/>
      <c r="Q550"/>
    </row>
    <row r="551" spans="14:17" x14ac:dyDescent="0.35">
      <c r="N551" s="53"/>
      <c r="Q551"/>
    </row>
    <row r="552" spans="14:17" x14ac:dyDescent="0.35">
      <c r="N552" s="53"/>
      <c r="Q552"/>
    </row>
    <row r="553" spans="14:17" x14ac:dyDescent="0.35">
      <c r="N553" s="53"/>
      <c r="Q553"/>
    </row>
    <row r="554" spans="14:17" x14ac:dyDescent="0.35">
      <c r="N554" s="53"/>
      <c r="Q554"/>
    </row>
    <row r="555" spans="14:17" x14ac:dyDescent="0.35">
      <c r="N555" s="53"/>
      <c r="Q555"/>
    </row>
    <row r="556" spans="14:17" x14ac:dyDescent="0.35">
      <c r="N556" s="53"/>
      <c r="Q556"/>
    </row>
    <row r="557" spans="14:17" x14ac:dyDescent="0.35">
      <c r="N557" s="53"/>
      <c r="Q557"/>
    </row>
    <row r="558" spans="14:17" x14ac:dyDescent="0.35">
      <c r="N558" s="53"/>
      <c r="Q558"/>
    </row>
    <row r="559" spans="14:17" x14ac:dyDescent="0.35">
      <c r="N559" s="53"/>
      <c r="Q559"/>
    </row>
    <row r="560" spans="14:17" x14ac:dyDescent="0.35">
      <c r="N560" s="53"/>
      <c r="Q560"/>
    </row>
    <row r="561" spans="14:17" x14ac:dyDescent="0.35">
      <c r="N561" s="53"/>
      <c r="Q561"/>
    </row>
    <row r="562" spans="14:17" x14ac:dyDescent="0.35">
      <c r="N562" s="53"/>
      <c r="Q562"/>
    </row>
    <row r="563" spans="14:17" x14ac:dyDescent="0.35">
      <c r="N563" s="53"/>
      <c r="Q563"/>
    </row>
    <row r="564" spans="14:17" x14ac:dyDescent="0.35">
      <c r="N564" s="53"/>
      <c r="Q564"/>
    </row>
    <row r="565" spans="14:17" x14ac:dyDescent="0.35">
      <c r="N565" s="53"/>
      <c r="Q565"/>
    </row>
    <row r="566" spans="14:17" x14ac:dyDescent="0.35">
      <c r="N566" s="53"/>
      <c r="Q566"/>
    </row>
    <row r="567" spans="14:17" x14ac:dyDescent="0.35">
      <c r="N567" s="53"/>
      <c r="Q567"/>
    </row>
    <row r="568" spans="14:17" x14ac:dyDescent="0.35">
      <c r="N568" s="53"/>
      <c r="Q568"/>
    </row>
    <row r="569" spans="14:17" x14ac:dyDescent="0.35">
      <c r="N569" s="53"/>
      <c r="Q569"/>
    </row>
    <row r="570" spans="14:17" x14ac:dyDescent="0.35">
      <c r="N570" s="53"/>
      <c r="Q570"/>
    </row>
    <row r="571" spans="14:17" x14ac:dyDescent="0.35">
      <c r="N571" s="53"/>
      <c r="Q571"/>
    </row>
    <row r="572" spans="14:17" x14ac:dyDescent="0.35">
      <c r="N572" s="53"/>
      <c r="Q572"/>
    </row>
    <row r="573" spans="14:17" x14ac:dyDescent="0.35">
      <c r="N573" s="53"/>
      <c r="Q573"/>
    </row>
    <row r="574" spans="14:17" x14ac:dyDescent="0.35">
      <c r="N574" s="53"/>
      <c r="Q574"/>
    </row>
    <row r="575" spans="14:17" x14ac:dyDescent="0.35">
      <c r="N575" s="53"/>
      <c r="Q575"/>
    </row>
    <row r="576" spans="14:17" x14ac:dyDescent="0.35">
      <c r="N576" s="53"/>
      <c r="Q576"/>
    </row>
    <row r="577" spans="14:17" x14ac:dyDescent="0.35">
      <c r="N577" s="53"/>
      <c r="Q577"/>
    </row>
    <row r="578" spans="14:17" x14ac:dyDescent="0.35">
      <c r="N578" s="53"/>
      <c r="Q578"/>
    </row>
    <row r="579" spans="14:17" x14ac:dyDescent="0.35">
      <c r="N579" s="53"/>
      <c r="Q579"/>
    </row>
    <row r="580" spans="14:17" x14ac:dyDescent="0.35">
      <c r="N580" s="53"/>
      <c r="Q580"/>
    </row>
    <row r="581" spans="14:17" x14ac:dyDescent="0.35">
      <c r="N581" s="53"/>
      <c r="Q581"/>
    </row>
    <row r="582" spans="14:17" x14ac:dyDescent="0.35">
      <c r="N582" s="53"/>
      <c r="Q582"/>
    </row>
    <row r="583" spans="14:17" x14ac:dyDescent="0.35">
      <c r="N583" s="53"/>
      <c r="Q583"/>
    </row>
    <row r="584" spans="14:17" x14ac:dyDescent="0.35">
      <c r="N584" s="53"/>
      <c r="Q584"/>
    </row>
    <row r="585" spans="14:17" x14ac:dyDescent="0.35">
      <c r="N585" s="53"/>
      <c r="Q585"/>
    </row>
    <row r="586" spans="14:17" x14ac:dyDescent="0.35">
      <c r="N586" s="53"/>
      <c r="Q586"/>
    </row>
    <row r="587" spans="14:17" x14ac:dyDescent="0.35">
      <c r="N587" s="53"/>
      <c r="Q587"/>
    </row>
    <row r="588" spans="14:17" x14ac:dyDescent="0.35">
      <c r="N588" s="53"/>
      <c r="Q588"/>
    </row>
    <row r="589" spans="14:17" x14ac:dyDescent="0.35">
      <c r="N589" s="53"/>
      <c r="Q589"/>
    </row>
    <row r="590" spans="14:17" x14ac:dyDescent="0.35">
      <c r="N590" s="53"/>
      <c r="Q590"/>
    </row>
    <row r="591" spans="14:17" x14ac:dyDescent="0.35">
      <c r="N591" s="53"/>
      <c r="Q591"/>
    </row>
    <row r="592" spans="14:17" x14ac:dyDescent="0.35">
      <c r="N592" s="53"/>
      <c r="Q592"/>
    </row>
    <row r="593" spans="14:17" x14ac:dyDescent="0.35">
      <c r="N593" s="53"/>
      <c r="Q593"/>
    </row>
    <row r="594" spans="14:17" x14ac:dyDescent="0.35">
      <c r="N594" s="53"/>
      <c r="Q594"/>
    </row>
    <row r="595" spans="14:17" x14ac:dyDescent="0.35">
      <c r="N595" s="53"/>
      <c r="Q595"/>
    </row>
    <row r="596" spans="14:17" x14ac:dyDescent="0.35">
      <c r="N596" s="53"/>
      <c r="Q596"/>
    </row>
    <row r="597" spans="14:17" x14ac:dyDescent="0.35">
      <c r="N597" s="53"/>
      <c r="Q597"/>
    </row>
    <row r="598" spans="14:17" x14ac:dyDescent="0.35">
      <c r="N598" s="53"/>
      <c r="Q598"/>
    </row>
    <row r="599" spans="14:17" x14ac:dyDescent="0.35">
      <c r="N599" s="53"/>
      <c r="Q599"/>
    </row>
    <row r="600" spans="14:17" x14ac:dyDescent="0.35">
      <c r="N600" s="53"/>
      <c r="Q600"/>
    </row>
    <row r="601" spans="14:17" x14ac:dyDescent="0.35">
      <c r="N601" s="53"/>
      <c r="Q601"/>
    </row>
    <row r="602" spans="14:17" x14ac:dyDescent="0.35">
      <c r="N602" s="53"/>
      <c r="Q602"/>
    </row>
    <row r="603" spans="14:17" x14ac:dyDescent="0.35">
      <c r="N603" s="53"/>
      <c r="Q603"/>
    </row>
    <row r="604" spans="14:17" x14ac:dyDescent="0.35">
      <c r="N604" s="53"/>
      <c r="Q604"/>
    </row>
    <row r="605" spans="14:17" x14ac:dyDescent="0.35">
      <c r="N605" s="53"/>
      <c r="Q605"/>
    </row>
    <row r="606" spans="14:17" x14ac:dyDescent="0.35">
      <c r="N606" s="53"/>
      <c r="Q606"/>
    </row>
    <row r="607" spans="14:17" x14ac:dyDescent="0.35">
      <c r="N607" s="53"/>
      <c r="Q607"/>
    </row>
    <row r="608" spans="14:17" x14ac:dyDescent="0.35">
      <c r="N608" s="53"/>
      <c r="Q608"/>
    </row>
    <row r="609" spans="14:17" x14ac:dyDescent="0.35">
      <c r="N609" s="53"/>
      <c r="Q609"/>
    </row>
    <row r="610" spans="14:17" x14ac:dyDescent="0.35">
      <c r="N610" s="53"/>
      <c r="Q610"/>
    </row>
    <row r="611" spans="14:17" x14ac:dyDescent="0.35">
      <c r="N611" s="53"/>
      <c r="Q611"/>
    </row>
    <row r="612" spans="14:17" x14ac:dyDescent="0.35">
      <c r="N612" s="53"/>
      <c r="Q612"/>
    </row>
    <row r="613" spans="14:17" x14ac:dyDescent="0.35">
      <c r="N613" s="53"/>
      <c r="Q613"/>
    </row>
    <row r="614" spans="14:17" x14ac:dyDescent="0.35">
      <c r="N614" s="53"/>
      <c r="Q614"/>
    </row>
    <row r="615" spans="14:17" x14ac:dyDescent="0.35">
      <c r="N615" s="53"/>
      <c r="Q615"/>
    </row>
    <row r="616" spans="14:17" x14ac:dyDescent="0.35">
      <c r="N616" s="53"/>
      <c r="Q616"/>
    </row>
    <row r="617" spans="14:17" x14ac:dyDescent="0.35">
      <c r="N617" s="53"/>
      <c r="Q617"/>
    </row>
    <row r="618" spans="14:17" x14ac:dyDescent="0.35">
      <c r="N618" s="53"/>
      <c r="Q618"/>
    </row>
    <row r="619" spans="14:17" x14ac:dyDescent="0.35">
      <c r="N619" s="53"/>
      <c r="Q619"/>
    </row>
    <row r="620" spans="14:17" x14ac:dyDescent="0.35">
      <c r="N620" s="53"/>
      <c r="Q620"/>
    </row>
    <row r="621" spans="14:17" x14ac:dyDescent="0.35">
      <c r="N621" s="53"/>
      <c r="Q621"/>
    </row>
    <row r="622" spans="14:17" x14ac:dyDescent="0.35">
      <c r="N622" s="53"/>
      <c r="Q622"/>
    </row>
    <row r="623" spans="14:17" x14ac:dyDescent="0.35">
      <c r="N623" s="53"/>
      <c r="Q623"/>
    </row>
    <row r="624" spans="14:17" x14ac:dyDescent="0.35">
      <c r="N624" s="53"/>
      <c r="Q624"/>
    </row>
    <row r="625" spans="14:17" x14ac:dyDescent="0.35">
      <c r="N625" s="53"/>
      <c r="Q625"/>
    </row>
    <row r="626" spans="14:17" x14ac:dyDescent="0.35">
      <c r="N626" s="53"/>
      <c r="Q626"/>
    </row>
    <row r="627" spans="14:17" x14ac:dyDescent="0.35">
      <c r="N627" s="53"/>
      <c r="Q627"/>
    </row>
    <row r="628" spans="14:17" x14ac:dyDescent="0.35">
      <c r="N628" s="53"/>
      <c r="Q628"/>
    </row>
    <row r="629" spans="14:17" x14ac:dyDescent="0.35">
      <c r="N629" s="53"/>
      <c r="Q629"/>
    </row>
    <row r="630" spans="14:17" x14ac:dyDescent="0.35">
      <c r="N630" s="53"/>
      <c r="Q630"/>
    </row>
    <row r="631" spans="14:17" x14ac:dyDescent="0.35">
      <c r="N631" s="53"/>
      <c r="Q631"/>
    </row>
    <row r="632" spans="14:17" x14ac:dyDescent="0.35">
      <c r="N632" s="53"/>
      <c r="Q632"/>
    </row>
    <row r="633" spans="14:17" x14ac:dyDescent="0.35">
      <c r="N633" s="53"/>
      <c r="Q633"/>
    </row>
    <row r="634" spans="14:17" x14ac:dyDescent="0.35">
      <c r="N634" s="53"/>
      <c r="Q634"/>
    </row>
    <row r="635" spans="14:17" x14ac:dyDescent="0.35">
      <c r="N635" s="53"/>
      <c r="Q635"/>
    </row>
    <row r="636" spans="14:17" x14ac:dyDescent="0.35">
      <c r="N636" s="53"/>
      <c r="Q636"/>
    </row>
    <row r="637" spans="14:17" x14ac:dyDescent="0.35">
      <c r="N637" s="53"/>
      <c r="Q637"/>
    </row>
    <row r="638" spans="14:17" x14ac:dyDescent="0.35">
      <c r="N638" s="53"/>
      <c r="Q638"/>
    </row>
    <row r="639" spans="14:17" x14ac:dyDescent="0.35">
      <c r="N639" s="53"/>
      <c r="Q639"/>
    </row>
    <row r="640" spans="14:17" x14ac:dyDescent="0.35">
      <c r="N640" s="53"/>
      <c r="Q640"/>
    </row>
    <row r="641" spans="14:17" x14ac:dyDescent="0.35">
      <c r="N641" s="53"/>
      <c r="Q641"/>
    </row>
    <row r="642" spans="14:17" x14ac:dyDescent="0.35">
      <c r="N642" s="53"/>
      <c r="Q642"/>
    </row>
    <row r="643" spans="14:17" x14ac:dyDescent="0.35">
      <c r="N643" s="53"/>
      <c r="Q643"/>
    </row>
    <row r="644" spans="14:17" x14ac:dyDescent="0.35">
      <c r="N644" s="53"/>
      <c r="Q644"/>
    </row>
    <row r="645" spans="14:17" x14ac:dyDescent="0.35">
      <c r="N645" s="53"/>
      <c r="Q645"/>
    </row>
    <row r="646" spans="14:17" x14ac:dyDescent="0.35">
      <c r="N646" s="53"/>
      <c r="Q646"/>
    </row>
    <row r="647" spans="14:17" x14ac:dyDescent="0.35">
      <c r="N647" s="53"/>
      <c r="Q647"/>
    </row>
    <row r="648" spans="14:17" x14ac:dyDescent="0.35">
      <c r="N648" s="53"/>
      <c r="Q648"/>
    </row>
    <row r="649" spans="14:17" x14ac:dyDescent="0.35">
      <c r="N649" s="53"/>
      <c r="Q649"/>
    </row>
    <row r="650" spans="14:17" x14ac:dyDescent="0.35">
      <c r="N650" s="53"/>
      <c r="Q650"/>
    </row>
    <row r="651" spans="14:17" x14ac:dyDescent="0.35">
      <c r="N651" s="53"/>
      <c r="Q651"/>
    </row>
    <row r="652" spans="14:17" x14ac:dyDescent="0.35">
      <c r="N652" s="53"/>
      <c r="Q652"/>
    </row>
    <row r="653" spans="14:17" x14ac:dyDescent="0.35">
      <c r="N653" s="53"/>
      <c r="Q653"/>
    </row>
    <row r="654" spans="14:17" x14ac:dyDescent="0.35">
      <c r="N654" s="53"/>
      <c r="Q654"/>
    </row>
    <row r="655" spans="14:17" x14ac:dyDescent="0.35">
      <c r="N655" s="53"/>
      <c r="Q655"/>
    </row>
    <row r="656" spans="14:17" x14ac:dyDescent="0.35">
      <c r="N656" s="53"/>
      <c r="Q656"/>
    </row>
    <row r="657" spans="14:17" x14ac:dyDescent="0.35">
      <c r="N657" s="53"/>
      <c r="Q657"/>
    </row>
    <row r="658" spans="14:17" x14ac:dyDescent="0.35">
      <c r="N658" s="53"/>
      <c r="Q658"/>
    </row>
    <row r="659" spans="14:17" x14ac:dyDescent="0.35">
      <c r="N659" s="53"/>
      <c r="Q659"/>
    </row>
    <row r="660" spans="14:17" x14ac:dyDescent="0.35">
      <c r="N660" s="53"/>
      <c r="Q660"/>
    </row>
    <row r="661" spans="14:17" x14ac:dyDescent="0.35">
      <c r="N661" s="53"/>
      <c r="Q661"/>
    </row>
    <row r="662" spans="14:17" x14ac:dyDescent="0.35">
      <c r="N662" s="53"/>
      <c r="Q662"/>
    </row>
    <row r="663" spans="14:17" x14ac:dyDescent="0.35">
      <c r="N663" s="53"/>
      <c r="Q663"/>
    </row>
    <row r="664" spans="14:17" x14ac:dyDescent="0.35">
      <c r="N664" s="53"/>
      <c r="Q664"/>
    </row>
    <row r="665" spans="14:17" x14ac:dyDescent="0.35">
      <c r="N665" s="53"/>
      <c r="Q665"/>
    </row>
    <row r="666" spans="14:17" x14ac:dyDescent="0.35">
      <c r="N666" s="53"/>
      <c r="Q666"/>
    </row>
    <row r="667" spans="14:17" x14ac:dyDescent="0.35">
      <c r="N667" s="53"/>
      <c r="Q667"/>
    </row>
    <row r="668" spans="14:17" x14ac:dyDescent="0.35">
      <c r="N668" s="53"/>
      <c r="Q668"/>
    </row>
    <row r="669" spans="14:17" x14ac:dyDescent="0.35">
      <c r="N669" s="53"/>
      <c r="Q669"/>
    </row>
    <row r="670" spans="14:17" x14ac:dyDescent="0.35">
      <c r="N670" s="53"/>
      <c r="Q670"/>
    </row>
    <row r="671" spans="14:17" x14ac:dyDescent="0.35">
      <c r="N671" s="53"/>
      <c r="Q671"/>
    </row>
    <row r="672" spans="14:17" x14ac:dyDescent="0.35">
      <c r="N672" s="53"/>
      <c r="Q672"/>
    </row>
    <row r="673" spans="14:17" x14ac:dyDescent="0.35">
      <c r="N673" s="53"/>
      <c r="Q673"/>
    </row>
    <row r="674" spans="14:17" x14ac:dyDescent="0.35">
      <c r="N674" s="53"/>
      <c r="Q674"/>
    </row>
    <row r="675" spans="14:17" x14ac:dyDescent="0.35">
      <c r="N675" s="53"/>
      <c r="Q675"/>
    </row>
    <row r="676" spans="14:17" x14ac:dyDescent="0.35">
      <c r="N676" s="53"/>
      <c r="Q676"/>
    </row>
    <row r="677" spans="14:17" x14ac:dyDescent="0.35">
      <c r="N677" s="53"/>
      <c r="Q677"/>
    </row>
    <row r="678" spans="14:17" x14ac:dyDescent="0.35">
      <c r="N678" s="53"/>
      <c r="Q678"/>
    </row>
    <row r="679" spans="14:17" x14ac:dyDescent="0.35">
      <c r="N679" s="53"/>
      <c r="Q679"/>
    </row>
    <row r="680" spans="14:17" x14ac:dyDescent="0.35">
      <c r="N680" s="53"/>
      <c r="Q680"/>
    </row>
    <row r="681" spans="14:17" x14ac:dyDescent="0.35">
      <c r="N681" s="53"/>
      <c r="Q681"/>
    </row>
    <row r="682" spans="14:17" x14ac:dyDescent="0.35">
      <c r="N682" s="53"/>
      <c r="Q682"/>
    </row>
    <row r="683" spans="14:17" x14ac:dyDescent="0.35">
      <c r="N683" s="53"/>
      <c r="Q683"/>
    </row>
    <row r="684" spans="14:17" x14ac:dyDescent="0.35">
      <c r="N684" s="53"/>
      <c r="Q684"/>
    </row>
    <row r="685" spans="14:17" x14ac:dyDescent="0.35">
      <c r="N685" s="53"/>
      <c r="Q685"/>
    </row>
    <row r="686" spans="14:17" x14ac:dyDescent="0.35">
      <c r="N686" s="53"/>
      <c r="Q686"/>
    </row>
    <row r="687" spans="14:17" x14ac:dyDescent="0.35">
      <c r="N687" s="53"/>
      <c r="Q687"/>
    </row>
    <row r="688" spans="14:17" x14ac:dyDescent="0.35">
      <c r="N688" s="53"/>
      <c r="Q688"/>
    </row>
    <row r="689" spans="14:17" x14ac:dyDescent="0.35">
      <c r="N689" s="53"/>
      <c r="Q689"/>
    </row>
    <row r="690" spans="14:17" x14ac:dyDescent="0.35">
      <c r="N690" s="53"/>
      <c r="Q690"/>
    </row>
    <row r="691" spans="14:17" x14ac:dyDescent="0.35">
      <c r="N691" s="53"/>
      <c r="Q691"/>
    </row>
    <row r="692" spans="14:17" x14ac:dyDescent="0.35">
      <c r="N692" s="53"/>
      <c r="Q692"/>
    </row>
    <row r="693" spans="14:17" x14ac:dyDescent="0.35">
      <c r="N693" s="53"/>
      <c r="Q693"/>
    </row>
    <row r="694" spans="14:17" x14ac:dyDescent="0.35">
      <c r="N694" s="53"/>
      <c r="Q694"/>
    </row>
    <row r="695" spans="14:17" x14ac:dyDescent="0.35">
      <c r="N695" s="53"/>
      <c r="Q695"/>
    </row>
    <row r="696" spans="14:17" x14ac:dyDescent="0.35">
      <c r="N696" s="53"/>
      <c r="Q696"/>
    </row>
    <row r="697" spans="14:17" x14ac:dyDescent="0.35">
      <c r="N697" s="53"/>
      <c r="Q697"/>
    </row>
    <row r="698" spans="14:17" x14ac:dyDescent="0.35">
      <c r="N698" s="53"/>
      <c r="Q698"/>
    </row>
    <row r="699" spans="14:17" x14ac:dyDescent="0.35">
      <c r="N699" s="53"/>
      <c r="Q699"/>
    </row>
    <row r="700" spans="14:17" x14ac:dyDescent="0.35">
      <c r="N700" s="53"/>
      <c r="Q700"/>
    </row>
    <row r="701" spans="14:17" x14ac:dyDescent="0.35">
      <c r="N701" s="53"/>
      <c r="Q701"/>
    </row>
    <row r="702" spans="14:17" x14ac:dyDescent="0.35">
      <c r="N702" s="53"/>
      <c r="Q702"/>
    </row>
    <row r="703" spans="14:17" x14ac:dyDescent="0.35">
      <c r="N703" s="53"/>
      <c r="Q703"/>
    </row>
    <row r="704" spans="14:17" x14ac:dyDescent="0.35">
      <c r="N704" s="53"/>
      <c r="Q704"/>
    </row>
    <row r="705" spans="14:17" x14ac:dyDescent="0.35">
      <c r="N705" s="53"/>
      <c r="Q705"/>
    </row>
    <row r="706" spans="14:17" x14ac:dyDescent="0.35">
      <c r="N706" s="53"/>
      <c r="Q706"/>
    </row>
    <row r="707" spans="14:17" x14ac:dyDescent="0.35">
      <c r="N707" s="53"/>
      <c r="Q707"/>
    </row>
    <row r="708" spans="14:17" x14ac:dyDescent="0.35">
      <c r="N708" s="53"/>
      <c r="Q708"/>
    </row>
    <row r="709" spans="14:17" x14ac:dyDescent="0.35">
      <c r="N709" s="53"/>
      <c r="Q709"/>
    </row>
    <row r="710" spans="14:17" x14ac:dyDescent="0.35">
      <c r="N710" s="53"/>
      <c r="Q710"/>
    </row>
    <row r="711" spans="14:17" x14ac:dyDescent="0.35">
      <c r="N711" s="53"/>
      <c r="Q711"/>
    </row>
    <row r="712" spans="14:17" x14ac:dyDescent="0.35">
      <c r="N712" s="53"/>
      <c r="Q712"/>
    </row>
    <row r="713" spans="14:17" x14ac:dyDescent="0.35">
      <c r="N713" s="53"/>
      <c r="Q713"/>
    </row>
    <row r="714" spans="14:17" x14ac:dyDescent="0.35">
      <c r="N714" s="53"/>
      <c r="Q714"/>
    </row>
    <row r="715" spans="14:17" x14ac:dyDescent="0.35">
      <c r="N715" s="53"/>
      <c r="Q715"/>
    </row>
    <row r="716" spans="14:17" x14ac:dyDescent="0.35">
      <c r="N716" s="53"/>
      <c r="Q716"/>
    </row>
    <row r="717" spans="14:17" x14ac:dyDescent="0.35">
      <c r="N717" s="53"/>
      <c r="Q717"/>
    </row>
    <row r="718" spans="14:17" x14ac:dyDescent="0.35">
      <c r="N718" s="53"/>
      <c r="Q718"/>
    </row>
    <row r="719" spans="14:17" x14ac:dyDescent="0.35">
      <c r="N719" s="53"/>
      <c r="Q719"/>
    </row>
    <row r="720" spans="14:17" x14ac:dyDescent="0.35">
      <c r="N720" s="53"/>
      <c r="Q720"/>
    </row>
    <row r="721" spans="14:17" x14ac:dyDescent="0.35">
      <c r="N721" s="53"/>
      <c r="Q721"/>
    </row>
    <row r="722" spans="14:17" x14ac:dyDescent="0.35">
      <c r="N722" s="53"/>
      <c r="Q722"/>
    </row>
    <row r="723" spans="14:17" x14ac:dyDescent="0.35">
      <c r="N723" s="53"/>
      <c r="Q723"/>
    </row>
    <row r="724" spans="14:17" x14ac:dyDescent="0.35">
      <c r="N724" s="53"/>
      <c r="Q724"/>
    </row>
    <row r="725" spans="14:17" x14ac:dyDescent="0.35">
      <c r="N725" s="53"/>
      <c r="Q725"/>
    </row>
    <row r="726" spans="14:17" x14ac:dyDescent="0.35">
      <c r="N726" s="53"/>
      <c r="Q726"/>
    </row>
    <row r="727" spans="14:17" x14ac:dyDescent="0.35">
      <c r="N727" s="53"/>
      <c r="Q727"/>
    </row>
    <row r="728" spans="14:17" x14ac:dyDescent="0.35">
      <c r="N728" s="53"/>
      <c r="Q728"/>
    </row>
    <row r="729" spans="14:17" x14ac:dyDescent="0.35">
      <c r="N729" s="53"/>
      <c r="Q729"/>
    </row>
    <row r="730" spans="14:17" x14ac:dyDescent="0.35">
      <c r="N730" s="53"/>
      <c r="Q730"/>
    </row>
    <row r="731" spans="14:17" x14ac:dyDescent="0.35">
      <c r="N731" s="53"/>
      <c r="Q731"/>
    </row>
    <row r="732" spans="14:17" x14ac:dyDescent="0.35">
      <c r="N732" s="53"/>
      <c r="Q732"/>
    </row>
    <row r="733" spans="14:17" x14ac:dyDescent="0.35">
      <c r="N733" s="53"/>
      <c r="Q733"/>
    </row>
    <row r="734" spans="14:17" x14ac:dyDescent="0.35">
      <c r="N734" s="53"/>
      <c r="Q734"/>
    </row>
    <row r="735" spans="14:17" x14ac:dyDescent="0.35">
      <c r="N735" s="53"/>
      <c r="Q735"/>
    </row>
    <row r="736" spans="14:17" x14ac:dyDescent="0.35">
      <c r="N736" s="53"/>
      <c r="Q736"/>
    </row>
    <row r="737" spans="14:17" x14ac:dyDescent="0.35">
      <c r="N737" s="53"/>
      <c r="Q737"/>
    </row>
    <row r="738" spans="14:17" x14ac:dyDescent="0.35">
      <c r="N738" s="53"/>
      <c r="Q738"/>
    </row>
    <row r="739" spans="14:17" x14ac:dyDescent="0.35">
      <c r="N739" s="53"/>
      <c r="Q739"/>
    </row>
    <row r="740" spans="14:17" x14ac:dyDescent="0.35">
      <c r="N740" s="53"/>
      <c r="Q740"/>
    </row>
    <row r="741" spans="14:17" x14ac:dyDescent="0.35">
      <c r="N741" s="53"/>
      <c r="Q741"/>
    </row>
    <row r="742" spans="14:17" x14ac:dyDescent="0.35">
      <c r="N742" s="53"/>
      <c r="Q742"/>
    </row>
    <row r="743" spans="14:17" x14ac:dyDescent="0.35">
      <c r="N743" s="53"/>
      <c r="Q743"/>
    </row>
    <row r="744" spans="14:17" x14ac:dyDescent="0.35">
      <c r="N744" s="53"/>
      <c r="Q744"/>
    </row>
    <row r="745" spans="14:17" x14ac:dyDescent="0.35">
      <c r="N745" s="53"/>
      <c r="Q745"/>
    </row>
    <row r="746" spans="14:17" x14ac:dyDescent="0.35">
      <c r="N746" s="53"/>
      <c r="Q746"/>
    </row>
    <row r="747" spans="14:17" x14ac:dyDescent="0.35">
      <c r="N747" s="53"/>
      <c r="Q747"/>
    </row>
    <row r="748" spans="14:17" x14ac:dyDescent="0.35">
      <c r="N748" s="53"/>
      <c r="Q748"/>
    </row>
    <row r="749" spans="14:17" x14ac:dyDescent="0.35">
      <c r="N749" s="53"/>
      <c r="Q749"/>
    </row>
    <row r="750" spans="14:17" x14ac:dyDescent="0.35">
      <c r="N750" s="53"/>
      <c r="Q750"/>
    </row>
    <row r="751" spans="14:17" x14ac:dyDescent="0.35">
      <c r="N751" s="53"/>
      <c r="Q751"/>
    </row>
    <row r="752" spans="14:17" x14ac:dyDescent="0.35">
      <c r="N752" s="53"/>
      <c r="Q752"/>
    </row>
    <row r="753" spans="14:17" x14ac:dyDescent="0.35">
      <c r="N753" s="53"/>
      <c r="Q753"/>
    </row>
    <row r="754" spans="14:17" x14ac:dyDescent="0.35">
      <c r="N754" s="53"/>
      <c r="Q754"/>
    </row>
    <row r="755" spans="14:17" x14ac:dyDescent="0.35">
      <c r="N755" s="53"/>
      <c r="Q755"/>
    </row>
    <row r="756" spans="14:17" x14ac:dyDescent="0.35">
      <c r="N756" s="53"/>
      <c r="Q756"/>
    </row>
    <row r="757" spans="14:17" x14ac:dyDescent="0.35">
      <c r="N757" s="53"/>
      <c r="Q757"/>
    </row>
    <row r="758" spans="14:17" x14ac:dyDescent="0.35">
      <c r="N758" s="53"/>
      <c r="Q758"/>
    </row>
    <row r="759" spans="14:17" x14ac:dyDescent="0.35">
      <c r="N759" s="53"/>
      <c r="Q759"/>
    </row>
    <row r="760" spans="14:17" x14ac:dyDescent="0.35">
      <c r="N760" s="53"/>
      <c r="Q760"/>
    </row>
    <row r="761" spans="14:17" x14ac:dyDescent="0.35">
      <c r="N761" s="53"/>
      <c r="Q761"/>
    </row>
    <row r="762" spans="14:17" x14ac:dyDescent="0.35">
      <c r="N762" s="53"/>
      <c r="Q762"/>
    </row>
    <row r="763" spans="14:17" x14ac:dyDescent="0.35">
      <c r="N763" s="53"/>
      <c r="Q763"/>
    </row>
    <row r="764" spans="14:17" x14ac:dyDescent="0.35">
      <c r="N764" s="53"/>
      <c r="Q764"/>
    </row>
    <row r="765" spans="14:17" x14ac:dyDescent="0.35">
      <c r="N765" s="53"/>
      <c r="Q765"/>
    </row>
    <row r="766" spans="14:17" x14ac:dyDescent="0.35">
      <c r="N766" s="53"/>
      <c r="Q766"/>
    </row>
    <row r="767" spans="14:17" x14ac:dyDescent="0.35">
      <c r="N767" s="53"/>
      <c r="Q767"/>
    </row>
    <row r="768" spans="14:17" x14ac:dyDescent="0.35">
      <c r="N768" s="53"/>
      <c r="Q768"/>
    </row>
    <row r="769" spans="14:17" x14ac:dyDescent="0.35">
      <c r="N769" s="53"/>
      <c r="Q769"/>
    </row>
    <row r="770" spans="14:17" x14ac:dyDescent="0.35">
      <c r="N770" s="53"/>
      <c r="Q770"/>
    </row>
    <row r="771" spans="14:17" x14ac:dyDescent="0.35">
      <c r="N771" s="53"/>
      <c r="Q771"/>
    </row>
    <row r="772" spans="14:17" x14ac:dyDescent="0.35">
      <c r="N772" s="53"/>
      <c r="Q772"/>
    </row>
    <row r="773" spans="14:17" x14ac:dyDescent="0.35">
      <c r="N773" s="53"/>
      <c r="Q773"/>
    </row>
    <row r="774" spans="14:17" x14ac:dyDescent="0.35">
      <c r="N774" s="53"/>
      <c r="Q774"/>
    </row>
    <row r="775" spans="14:17" x14ac:dyDescent="0.35">
      <c r="N775" s="53"/>
      <c r="Q775"/>
    </row>
    <row r="776" spans="14:17" x14ac:dyDescent="0.35">
      <c r="N776" s="53"/>
      <c r="Q776"/>
    </row>
    <row r="777" spans="14:17" x14ac:dyDescent="0.35">
      <c r="N777" s="53"/>
      <c r="Q777"/>
    </row>
    <row r="778" spans="14:17" x14ac:dyDescent="0.35">
      <c r="N778" s="53"/>
      <c r="Q778"/>
    </row>
    <row r="779" spans="14:17" x14ac:dyDescent="0.35">
      <c r="N779" s="53"/>
      <c r="Q779"/>
    </row>
    <row r="780" spans="14:17" x14ac:dyDescent="0.35">
      <c r="N780" s="53"/>
      <c r="Q780"/>
    </row>
    <row r="781" spans="14:17" x14ac:dyDescent="0.35">
      <c r="N781" s="53"/>
      <c r="Q781"/>
    </row>
    <row r="782" spans="14:17" x14ac:dyDescent="0.35">
      <c r="N782" s="53"/>
      <c r="Q782"/>
    </row>
    <row r="783" spans="14:17" x14ac:dyDescent="0.35">
      <c r="N783" s="53"/>
      <c r="Q783"/>
    </row>
    <row r="784" spans="14:17" x14ac:dyDescent="0.35">
      <c r="N784" s="53"/>
      <c r="Q784"/>
    </row>
    <row r="785" spans="14:17" x14ac:dyDescent="0.35">
      <c r="N785" s="53"/>
      <c r="Q785"/>
    </row>
    <row r="786" spans="14:17" x14ac:dyDescent="0.35">
      <c r="N786" s="53"/>
      <c r="Q786"/>
    </row>
    <row r="787" spans="14:17" x14ac:dyDescent="0.35">
      <c r="N787" s="53"/>
      <c r="Q787"/>
    </row>
    <row r="788" spans="14:17" x14ac:dyDescent="0.35">
      <c r="N788" s="53"/>
      <c r="Q788"/>
    </row>
    <row r="789" spans="14:17" x14ac:dyDescent="0.35">
      <c r="N789" s="53"/>
      <c r="Q789"/>
    </row>
    <row r="790" spans="14:17" x14ac:dyDescent="0.35">
      <c r="N790" s="53"/>
      <c r="Q790"/>
    </row>
    <row r="791" spans="14:17" x14ac:dyDescent="0.35">
      <c r="N791" s="53"/>
      <c r="Q791"/>
    </row>
    <row r="792" spans="14:17" x14ac:dyDescent="0.35">
      <c r="N792" s="53"/>
      <c r="Q792"/>
    </row>
    <row r="793" spans="14:17" x14ac:dyDescent="0.35">
      <c r="N793" s="53"/>
      <c r="Q793"/>
    </row>
    <row r="794" spans="14:17" x14ac:dyDescent="0.35">
      <c r="N794" s="53"/>
      <c r="Q794"/>
    </row>
    <row r="795" spans="14:17" x14ac:dyDescent="0.35">
      <c r="N795" s="53"/>
      <c r="Q795"/>
    </row>
    <row r="796" spans="14:17" x14ac:dyDescent="0.35">
      <c r="N796" s="53"/>
      <c r="Q796"/>
    </row>
    <row r="797" spans="14:17" x14ac:dyDescent="0.35">
      <c r="N797" s="53"/>
      <c r="Q797"/>
    </row>
    <row r="798" spans="14:17" x14ac:dyDescent="0.35">
      <c r="N798" s="53"/>
      <c r="Q798"/>
    </row>
    <row r="799" spans="14:17" x14ac:dyDescent="0.35">
      <c r="N799" s="53"/>
      <c r="Q799"/>
    </row>
    <row r="800" spans="14:17" x14ac:dyDescent="0.35">
      <c r="N800" s="53"/>
      <c r="Q800"/>
    </row>
    <row r="801" spans="14:17" x14ac:dyDescent="0.35">
      <c r="N801" s="53"/>
      <c r="Q801"/>
    </row>
    <row r="802" spans="14:17" x14ac:dyDescent="0.35">
      <c r="N802" s="53"/>
      <c r="Q802"/>
    </row>
    <row r="803" spans="14:17" x14ac:dyDescent="0.35">
      <c r="N803" s="53"/>
      <c r="Q803"/>
    </row>
    <row r="804" spans="14:17" x14ac:dyDescent="0.35">
      <c r="N804" s="53"/>
      <c r="Q804"/>
    </row>
    <row r="805" spans="14:17" x14ac:dyDescent="0.35">
      <c r="N805" s="53"/>
      <c r="Q805"/>
    </row>
    <row r="806" spans="14:17" x14ac:dyDescent="0.35">
      <c r="N806" s="53"/>
      <c r="Q806"/>
    </row>
    <row r="807" spans="14:17" x14ac:dyDescent="0.35">
      <c r="N807" s="53"/>
      <c r="Q807"/>
    </row>
    <row r="808" spans="14:17" x14ac:dyDescent="0.35">
      <c r="N808" s="53"/>
      <c r="Q808"/>
    </row>
    <row r="809" spans="14:17" x14ac:dyDescent="0.35">
      <c r="N809" s="53"/>
      <c r="Q809"/>
    </row>
    <row r="810" spans="14:17" x14ac:dyDescent="0.35">
      <c r="N810" s="53"/>
      <c r="Q810"/>
    </row>
    <row r="811" spans="14:17" x14ac:dyDescent="0.35">
      <c r="N811" s="53"/>
      <c r="Q811"/>
    </row>
    <row r="812" spans="14:17" x14ac:dyDescent="0.35">
      <c r="N812" s="53"/>
      <c r="Q812"/>
    </row>
    <row r="813" spans="14:17" x14ac:dyDescent="0.35">
      <c r="N813" s="53"/>
      <c r="Q813"/>
    </row>
    <row r="814" spans="14:17" x14ac:dyDescent="0.35">
      <c r="N814" s="53"/>
      <c r="Q814"/>
    </row>
    <row r="815" spans="14:17" x14ac:dyDescent="0.35">
      <c r="N815" s="53"/>
      <c r="Q815"/>
    </row>
    <row r="816" spans="14:17" x14ac:dyDescent="0.35">
      <c r="N816" s="53"/>
      <c r="Q816"/>
    </row>
    <row r="817" spans="14:17" x14ac:dyDescent="0.35">
      <c r="N817" s="53"/>
      <c r="Q817"/>
    </row>
    <row r="818" spans="14:17" x14ac:dyDescent="0.35">
      <c r="N818" s="53"/>
      <c r="Q818"/>
    </row>
    <row r="819" spans="14:17" x14ac:dyDescent="0.35">
      <c r="N819" s="53"/>
      <c r="Q819"/>
    </row>
    <row r="820" spans="14:17" x14ac:dyDescent="0.35">
      <c r="N820" s="53"/>
      <c r="Q820"/>
    </row>
    <row r="821" spans="14:17" x14ac:dyDescent="0.35">
      <c r="N821" s="53"/>
      <c r="Q821"/>
    </row>
    <row r="822" spans="14:17" x14ac:dyDescent="0.35">
      <c r="N822" s="53"/>
      <c r="Q822"/>
    </row>
    <row r="823" spans="14:17" x14ac:dyDescent="0.35">
      <c r="N823" s="53"/>
      <c r="Q823"/>
    </row>
    <row r="824" spans="14:17" x14ac:dyDescent="0.35">
      <c r="N824" s="53"/>
      <c r="Q824"/>
    </row>
    <row r="825" spans="14:17" x14ac:dyDescent="0.35">
      <c r="N825" s="53"/>
      <c r="Q825"/>
    </row>
    <row r="826" spans="14:17" x14ac:dyDescent="0.35">
      <c r="N826" s="53"/>
      <c r="Q826"/>
    </row>
    <row r="827" spans="14:17" x14ac:dyDescent="0.35">
      <c r="N827" s="53"/>
      <c r="Q827"/>
    </row>
    <row r="828" spans="14:17" x14ac:dyDescent="0.35">
      <c r="N828" s="53"/>
      <c r="Q828"/>
    </row>
    <row r="829" spans="14:17" x14ac:dyDescent="0.35">
      <c r="N829" s="53"/>
      <c r="Q829"/>
    </row>
    <row r="830" spans="14:17" x14ac:dyDescent="0.35">
      <c r="N830" s="53"/>
      <c r="Q830"/>
    </row>
    <row r="831" spans="14:17" x14ac:dyDescent="0.35">
      <c r="N831" s="53"/>
      <c r="Q831"/>
    </row>
    <row r="832" spans="14:17" x14ac:dyDescent="0.35">
      <c r="N832" s="53"/>
      <c r="Q832"/>
    </row>
    <row r="833" spans="14:17" x14ac:dyDescent="0.35">
      <c r="N833" s="53"/>
      <c r="Q833"/>
    </row>
    <row r="834" spans="14:17" x14ac:dyDescent="0.35">
      <c r="N834" s="53"/>
      <c r="Q834"/>
    </row>
    <row r="835" spans="14:17" x14ac:dyDescent="0.35">
      <c r="N835" s="53"/>
      <c r="Q835"/>
    </row>
    <row r="836" spans="14:17" x14ac:dyDescent="0.35">
      <c r="N836" s="53"/>
      <c r="Q836"/>
    </row>
    <row r="837" spans="14:17" x14ac:dyDescent="0.35">
      <c r="N837" s="53"/>
      <c r="Q837"/>
    </row>
    <row r="838" spans="14:17" x14ac:dyDescent="0.35">
      <c r="N838" s="53"/>
      <c r="Q838"/>
    </row>
    <row r="839" spans="14:17" x14ac:dyDescent="0.35">
      <c r="N839" s="53"/>
      <c r="Q839"/>
    </row>
    <row r="840" spans="14:17" x14ac:dyDescent="0.35">
      <c r="N840" s="53"/>
      <c r="Q840"/>
    </row>
    <row r="841" spans="14:17" x14ac:dyDescent="0.35">
      <c r="Q841"/>
    </row>
    <row r="842" spans="14:17" x14ac:dyDescent="0.35">
      <c r="Q842"/>
    </row>
    <row r="843" spans="14:17" x14ac:dyDescent="0.35">
      <c r="Q843"/>
    </row>
    <row r="844" spans="14:17" x14ac:dyDescent="0.35">
      <c r="Q844"/>
    </row>
    <row r="845" spans="14:17" x14ac:dyDescent="0.35">
      <c r="Q845"/>
    </row>
    <row r="846" spans="14:17" x14ac:dyDescent="0.35">
      <c r="Q846"/>
    </row>
    <row r="847" spans="14:17" x14ac:dyDescent="0.35">
      <c r="Q847"/>
    </row>
    <row r="848" spans="14:17" x14ac:dyDescent="0.35">
      <c r="Q848"/>
    </row>
    <row r="849" spans="17:17" x14ac:dyDescent="0.35">
      <c r="Q849"/>
    </row>
    <row r="850" spans="17:17" x14ac:dyDescent="0.35">
      <c r="Q850"/>
    </row>
    <row r="851" spans="17:17" x14ac:dyDescent="0.35">
      <c r="Q851"/>
    </row>
    <row r="852" spans="17:17" x14ac:dyDescent="0.35">
      <c r="Q852"/>
    </row>
    <row r="853" spans="17:17" x14ac:dyDescent="0.35">
      <c r="Q853"/>
    </row>
    <row r="854" spans="17:17" x14ac:dyDescent="0.35">
      <c r="Q854"/>
    </row>
    <row r="855" spans="17:17" x14ac:dyDescent="0.35">
      <c r="Q855"/>
    </row>
    <row r="856" spans="17:17" x14ac:dyDescent="0.35">
      <c r="Q856"/>
    </row>
    <row r="857" spans="17:17" x14ac:dyDescent="0.35">
      <c r="Q857"/>
    </row>
    <row r="858" spans="17:17" x14ac:dyDescent="0.35">
      <c r="Q858"/>
    </row>
    <row r="859" spans="17:17" x14ac:dyDescent="0.35">
      <c r="Q859"/>
    </row>
    <row r="860" spans="17:17" x14ac:dyDescent="0.35">
      <c r="Q860"/>
    </row>
    <row r="861" spans="17:17" x14ac:dyDescent="0.35">
      <c r="Q861"/>
    </row>
    <row r="862" spans="17:17" x14ac:dyDescent="0.35">
      <c r="Q862"/>
    </row>
    <row r="863" spans="17:17" x14ac:dyDescent="0.35">
      <c r="Q863"/>
    </row>
    <row r="864" spans="17:17" x14ac:dyDescent="0.35">
      <c r="Q864"/>
    </row>
    <row r="865" spans="17:17" x14ac:dyDescent="0.35">
      <c r="Q865"/>
    </row>
    <row r="866" spans="17:17" x14ac:dyDescent="0.35">
      <c r="Q866"/>
    </row>
    <row r="867" spans="17:17" x14ac:dyDescent="0.35">
      <c r="Q867"/>
    </row>
    <row r="868" spans="17:17" x14ac:dyDescent="0.35">
      <c r="Q868"/>
    </row>
    <row r="869" spans="17:17" x14ac:dyDescent="0.35">
      <c r="Q869"/>
    </row>
    <row r="870" spans="17:17" x14ac:dyDescent="0.35">
      <c r="Q870"/>
    </row>
    <row r="871" spans="17:17" x14ac:dyDescent="0.35">
      <c r="Q871"/>
    </row>
    <row r="872" spans="17:17" x14ac:dyDescent="0.35">
      <c r="Q872"/>
    </row>
    <row r="873" spans="17:17" x14ac:dyDescent="0.35">
      <c r="Q873"/>
    </row>
    <row r="874" spans="17:17" x14ac:dyDescent="0.35">
      <c r="Q874"/>
    </row>
    <row r="875" spans="17:17" x14ac:dyDescent="0.35">
      <c r="Q875"/>
    </row>
    <row r="876" spans="17:17" x14ac:dyDescent="0.35">
      <c r="Q876"/>
    </row>
    <row r="877" spans="17:17" x14ac:dyDescent="0.35">
      <c r="Q877"/>
    </row>
    <row r="878" spans="17:17" x14ac:dyDescent="0.35">
      <c r="Q878"/>
    </row>
    <row r="879" spans="17:17" x14ac:dyDescent="0.35">
      <c r="Q879"/>
    </row>
    <row r="880" spans="17:17" x14ac:dyDescent="0.35">
      <c r="Q880"/>
    </row>
    <row r="881" spans="17:17" x14ac:dyDescent="0.35">
      <c r="Q881"/>
    </row>
    <row r="882" spans="17:17" x14ac:dyDescent="0.35">
      <c r="Q882"/>
    </row>
    <row r="883" spans="17:17" x14ac:dyDescent="0.35">
      <c r="Q883"/>
    </row>
    <row r="884" spans="17:17" x14ac:dyDescent="0.35">
      <c r="Q884"/>
    </row>
    <row r="885" spans="17:17" x14ac:dyDescent="0.35">
      <c r="Q885"/>
    </row>
    <row r="886" spans="17:17" x14ac:dyDescent="0.35">
      <c r="Q886"/>
    </row>
    <row r="887" spans="17:17" x14ac:dyDescent="0.35">
      <c r="Q887"/>
    </row>
    <row r="888" spans="17:17" x14ac:dyDescent="0.35">
      <c r="Q888"/>
    </row>
    <row r="889" spans="17:17" x14ac:dyDescent="0.35">
      <c r="Q889"/>
    </row>
    <row r="890" spans="17:17" x14ac:dyDescent="0.35">
      <c r="Q890"/>
    </row>
    <row r="891" spans="17:17" x14ac:dyDescent="0.35">
      <c r="Q891"/>
    </row>
    <row r="892" spans="17:17" x14ac:dyDescent="0.35">
      <c r="Q892"/>
    </row>
    <row r="893" spans="17:17" x14ac:dyDescent="0.35">
      <c r="Q893"/>
    </row>
    <row r="894" spans="17:17" x14ac:dyDescent="0.35">
      <c r="Q894"/>
    </row>
    <row r="895" spans="17:17" x14ac:dyDescent="0.35">
      <c r="Q895"/>
    </row>
    <row r="896" spans="17:17" x14ac:dyDescent="0.35">
      <c r="Q896"/>
    </row>
    <row r="897" spans="17:17" x14ac:dyDescent="0.35">
      <c r="Q897"/>
    </row>
    <row r="898" spans="17:17" x14ac:dyDescent="0.35">
      <c r="Q898"/>
    </row>
    <row r="899" spans="17:17" x14ac:dyDescent="0.35">
      <c r="Q899"/>
    </row>
    <row r="900" spans="17:17" x14ac:dyDescent="0.35">
      <c r="Q900"/>
    </row>
    <row r="901" spans="17:17" x14ac:dyDescent="0.35">
      <c r="Q901"/>
    </row>
    <row r="902" spans="17:17" x14ac:dyDescent="0.35">
      <c r="Q902"/>
    </row>
    <row r="903" spans="17:17" x14ac:dyDescent="0.35">
      <c r="Q903"/>
    </row>
    <row r="904" spans="17:17" x14ac:dyDescent="0.35">
      <c r="Q904"/>
    </row>
    <row r="905" spans="17:17" x14ac:dyDescent="0.35">
      <c r="Q905"/>
    </row>
    <row r="906" spans="17:17" x14ac:dyDescent="0.35">
      <c r="Q906"/>
    </row>
    <row r="907" spans="17:17" x14ac:dyDescent="0.35">
      <c r="Q907"/>
    </row>
    <row r="908" spans="17:17" x14ac:dyDescent="0.35">
      <c r="Q908"/>
    </row>
    <row r="909" spans="17:17" x14ac:dyDescent="0.35">
      <c r="Q909"/>
    </row>
    <row r="910" spans="17:17" x14ac:dyDescent="0.35">
      <c r="Q910"/>
    </row>
    <row r="911" spans="17:17" x14ac:dyDescent="0.35">
      <c r="Q911"/>
    </row>
    <row r="912" spans="17:17" x14ac:dyDescent="0.35">
      <c r="Q912"/>
    </row>
    <row r="913" spans="17:17" x14ac:dyDescent="0.35">
      <c r="Q913"/>
    </row>
    <row r="914" spans="17:17" x14ac:dyDescent="0.35">
      <c r="Q914"/>
    </row>
    <row r="915" spans="17:17" x14ac:dyDescent="0.35">
      <c r="Q915"/>
    </row>
    <row r="916" spans="17:17" x14ac:dyDescent="0.35">
      <c r="Q916"/>
    </row>
    <row r="917" spans="17:17" x14ac:dyDescent="0.35">
      <c r="Q917"/>
    </row>
    <row r="918" spans="17:17" x14ac:dyDescent="0.35">
      <c r="Q918"/>
    </row>
    <row r="919" spans="17:17" x14ac:dyDescent="0.35">
      <c r="Q919"/>
    </row>
    <row r="920" spans="17:17" x14ac:dyDescent="0.35">
      <c r="Q920"/>
    </row>
    <row r="921" spans="17:17" x14ac:dyDescent="0.35">
      <c r="Q921"/>
    </row>
    <row r="922" spans="17:17" x14ac:dyDescent="0.35">
      <c r="Q922"/>
    </row>
    <row r="923" spans="17:17" x14ac:dyDescent="0.35">
      <c r="Q923"/>
    </row>
    <row r="924" spans="17:17" x14ac:dyDescent="0.35">
      <c r="Q924"/>
    </row>
    <row r="925" spans="17:17" x14ac:dyDescent="0.35">
      <c r="Q925"/>
    </row>
    <row r="926" spans="17:17" x14ac:dyDescent="0.35">
      <c r="Q926"/>
    </row>
    <row r="927" spans="17:17" x14ac:dyDescent="0.35">
      <c r="Q927"/>
    </row>
    <row r="928" spans="17:17" x14ac:dyDescent="0.35">
      <c r="Q928"/>
    </row>
    <row r="929" spans="17:17" x14ac:dyDescent="0.35">
      <c r="Q929"/>
    </row>
    <row r="930" spans="17:17" x14ac:dyDescent="0.35">
      <c r="Q930"/>
    </row>
    <row r="931" spans="17:17" x14ac:dyDescent="0.35">
      <c r="Q931"/>
    </row>
    <row r="932" spans="17:17" x14ac:dyDescent="0.35">
      <c r="Q932"/>
    </row>
    <row r="933" spans="17:17" x14ac:dyDescent="0.35">
      <c r="Q933"/>
    </row>
    <row r="934" spans="17:17" x14ac:dyDescent="0.35">
      <c r="Q934"/>
    </row>
    <row r="935" spans="17:17" x14ac:dyDescent="0.35">
      <c r="Q935"/>
    </row>
    <row r="936" spans="17:17" x14ac:dyDescent="0.35">
      <c r="Q936"/>
    </row>
    <row r="937" spans="17:17" x14ac:dyDescent="0.35">
      <c r="Q937"/>
    </row>
    <row r="938" spans="17:17" x14ac:dyDescent="0.35">
      <c r="Q938"/>
    </row>
    <row r="939" spans="17:17" x14ac:dyDescent="0.35">
      <c r="Q939"/>
    </row>
    <row r="940" spans="17:17" x14ac:dyDescent="0.35">
      <c r="Q940"/>
    </row>
    <row r="941" spans="17:17" x14ac:dyDescent="0.35">
      <c r="Q941"/>
    </row>
    <row r="942" spans="17:17" x14ac:dyDescent="0.35">
      <c r="Q942"/>
    </row>
    <row r="943" spans="17:17" x14ac:dyDescent="0.35">
      <c r="Q943"/>
    </row>
    <row r="944" spans="17:17" x14ac:dyDescent="0.35">
      <c r="Q944"/>
    </row>
    <row r="945" spans="17:17" x14ac:dyDescent="0.35">
      <c r="Q945"/>
    </row>
    <row r="946" spans="17:17" x14ac:dyDescent="0.35">
      <c r="Q946"/>
    </row>
    <row r="947" spans="17:17" x14ac:dyDescent="0.35">
      <c r="Q947"/>
    </row>
    <row r="948" spans="17:17" x14ac:dyDescent="0.35">
      <c r="Q948"/>
    </row>
    <row r="949" spans="17:17" x14ac:dyDescent="0.35">
      <c r="Q949"/>
    </row>
    <row r="950" spans="17:17" x14ac:dyDescent="0.35">
      <c r="Q950"/>
    </row>
    <row r="951" spans="17:17" x14ac:dyDescent="0.35">
      <c r="Q951"/>
    </row>
    <row r="952" spans="17:17" x14ac:dyDescent="0.35">
      <c r="Q952"/>
    </row>
    <row r="953" spans="17:17" x14ac:dyDescent="0.35">
      <c r="Q953"/>
    </row>
    <row r="954" spans="17:17" x14ac:dyDescent="0.35">
      <c r="Q954"/>
    </row>
    <row r="955" spans="17:17" x14ac:dyDescent="0.35">
      <c r="Q955"/>
    </row>
    <row r="956" spans="17:17" x14ac:dyDescent="0.35">
      <c r="Q956"/>
    </row>
    <row r="957" spans="17:17" x14ac:dyDescent="0.35">
      <c r="Q957"/>
    </row>
    <row r="958" spans="17:17" x14ac:dyDescent="0.35">
      <c r="Q958"/>
    </row>
    <row r="959" spans="17:17" x14ac:dyDescent="0.35">
      <c r="Q959"/>
    </row>
    <row r="960" spans="17:17" x14ac:dyDescent="0.35">
      <c r="Q960"/>
    </row>
    <row r="961" spans="17:17" x14ac:dyDescent="0.35">
      <c r="Q961"/>
    </row>
    <row r="962" spans="17:17" x14ac:dyDescent="0.35">
      <c r="Q962"/>
    </row>
    <row r="963" spans="17:17" x14ac:dyDescent="0.35">
      <c r="Q963"/>
    </row>
    <row r="964" spans="17:17" x14ac:dyDescent="0.35">
      <c r="Q964"/>
    </row>
    <row r="965" spans="17:17" x14ac:dyDescent="0.35">
      <c r="Q965"/>
    </row>
    <row r="966" spans="17:17" x14ac:dyDescent="0.35">
      <c r="Q966"/>
    </row>
    <row r="967" spans="17:17" x14ac:dyDescent="0.35">
      <c r="Q967"/>
    </row>
    <row r="968" spans="17:17" x14ac:dyDescent="0.35">
      <c r="Q968"/>
    </row>
    <row r="969" spans="17:17" x14ac:dyDescent="0.35">
      <c r="Q969"/>
    </row>
    <row r="970" spans="17:17" x14ac:dyDescent="0.35">
      <c r="Q970"/>
    </row>
    <row r="971" spans="17:17" x14ac:dyDescent="0.35">
      <c r="Q971"/>
    </row>
    <row r="972" spans="17:17" x14ac:dyDescent="0.35">
      <c r="Q972"/>
    </row>
    <row r="973" spans="17:17" x14ac:dyDescent="0.35">
      <c r="Q973"/>
    </row>
    <row r="974" spans="17:17" x14ac:dyDescent="0.35">
      <c r="Q974"/>
    </row>
    <row r="975" spans="17:17" x14ac:dyDescent="0.35">
      <c r="Q975"/>
    </row>
    <row r="976" spans="17:17" x14ac:dyDescent="0.35">
      <c r="Q976"/>
    </row>
    <row r="977" spans="17:17" x14ac:dyDescent="0.35">
      <c r="Q977"/>
    </row>
    <row r="978" spans="17:17" x14ac:dyDescent="0.35">
      <c r="Q978"/>
    </row>
    <row r="979" spans="17:17" x14ac:dyDescent="0.35">
      <c r="Q979"/>
    </row>
    <row r="980" spans="17:17" x14ac:dyDescent="0.35">
      <c r="Q980"/>
    </row>
    <row r="981" spans="17:17" x14ac:dyDescent="0.35">
      <c r="Q981"/>
    </row>
    <row r="982" spans="17:17" x14ac:dyDescent="0.35">
      <c r="Q982"/>
    </row>
    <row r="983" spans="17:17" x14ac:dyDescent="0.35">
      <c r="Q983"/>
    </row>
    <row r="984" spans="17:17" x14ac:dyDescent="0.35">
      <c r="Q984"/>
    </row>
    <row r="985" spans="17:17" x14ac:dyDescent="0.35">
      <c r="Q985"/>
    </row>
    <row r="986" spans="17:17" x14ac:dyDescent="0.35">
      <c r="Q986"/>
    </row>
    <row r="987" spans="17:17" x14ac:dyDescent="0.35">
      <c r="Q987"/>
    </row>
    <row r="988" spans="17:17" x14ac:dyDescent="0.35">
      <c r="Q988"/>
    </row>
    <row r="989" spans="17:17" x14ac:dyDescent="0.35">
      <c r="Q989"/>
    </row>
    <row r="990" spans="17:17" x14ac:dyDescent="0.35">
      <c r="Q990"/>
    </row>
    <row r="991" spans="17:17" x14ac:dyDescent="0.35">
      <c r="Q991"/>
    </row>
    <row r="992" spans="17:17" x14ac:dyDescent="0.35">
      <c r="Q992"/>
    </row>
    <row r="993" spans="17:17" x14ac:dyDescent="0.35">
      <c r="Q993"/>
    </row>
    <row r="994" spans="17:17" x14ac:dyDescent="0.35">
      <c r="Q994"/>
    </row>
    <row r="995" spans="17:17" x14ac:dyDescent="0.35">
      <c r="Q995"/>
    </row>
    <row r="996" spans="17:17" x14ac:dyDescent="0.35">
      <c r="Q996"/>
    </row>
    <row r="997" spans="17:17" x14ac:dyDescent="0.35">
      <c r="Q997"/>
    </row>
    <row r="998" spans="17:17" x14ac:dyDescent="0.35">
      <c r="Q998"/>
    </row>
    <row r="999" spans="17:17" x14ac:dyDescent="0.35">
      <c r="Q999"/>
    </row>
    <row r="1000" spans="17:17" x14ac:dyDescent="0.35">
      <c r="Q1000"/>
    </row>
    <row r="1001" spans="17:17" x14ac:dyDescent="0.35">
      <c r="Q1001"/>
    </row>
    <row r="1002" spans="17:17" x14ac:dyDescent="0.35">
      <c r="Q1002"/>
    </row>
    <row r="1003" spans="17:17" x14ac:dyDescent="0.35">
      <c r="Q1003"/>
    </row>
    <row r="1004" spans="17:17" x14ac:dyDescent="0.35">
      <c r="Q1004"/>
    </row>
    <row r="1005" spans="17:17" x14ac:dyDescent="0.35">
      <c r="Q1005"/>
    </row>
    <row r="1006" spans="17:17" x14ac:dyDescent="0.35">
      <c r="Q1006"/>
    </row>
    <row r="1007" spans="17:17" x14ac:dyDescent="0.35">
      <c r="Q1007"/>
    </row>
    <row r="1008" spans="17:17" x14ac:dyDescent="0.35">
      <c r="Q1008"/>
    </row>
    <row r="1009" spans="17:17" x14ac:dyDescent="0.35">
      <c r="Q1009"/>
    </row>
    <row r="1010" spans="17:17" x14ac:dyDescent="0.35">
      <c r="Q1010"/>
    </row>
    <row r="1011" spans="17:17" x14ac:dyDescent="0.35">
      <c r="Q1011"/>
    </row>
    <row r="1012" spans="17:17" x14ac:dyDescent="0.35">
      <c r="Q1012"/>
    </row>
    <row r="1013" spans="17:17" x14ac:dyDescent="0.35">
      <c r="Q1013"/>
    </row>
    <row r="1014" spans="17:17" x14ac:dyDescent="0.35">
      <c r="Q1014"/>
    </row>
    <row r="1015" spans="17:17" x14ac:dyDescent="0.35">
      <c r="Q1015"/>
    </row>
    <row r="1016" spans="17:17" x14ac:dyDescent="0.35">
      <c r="Q1016"/>
    </row>
    <row r="1017" spans="17:17" x14ac:dyDescent="0.35">
      <c r="Q1017"/>
    </row>
    <row r="1018" spans="17:17" x14ac:dyDescent="0.35">
      <c r="Q1018"/>
    </row>
    <row r="1019" spans="17:17" x14ac:dyDescent="0.35">
      <c r="Q1019"/>
    </row>
    <row r="1020" spans="17:17" x14ac:dyDescent="0.35">
      <c r="Q1020"/>
    </row>
    <row r="1021" spans="17:17" x14ac:dyDescent="0.35">
      <c r="Q1021"/>
    </row>
    <row r="1022" spans="17:17" x14ac:dyDescent="0.35">
      <c r="Q1022"/>
    </row>
    <row r="1023" spans="17:17" x14ac:dyDescent="0.35">
      <c r="Q1023"/>
    </row>
    <row r="1024" spans="17:17" x14ac:dyDescent="0.35">
      <c r="Q1024"/>
    </row>
    <row r="1025" spans="17:17" x14ac:dyDescent="0.35">
      <c r="Q1025"/>
    </row>
    <row r="1026" spans="17:17" x14ac:dyDescent="0.35">
      <c r="Q1026"/>
    </row>
    <row r="1027" spans="17:17" x14ac:dyDescent="0.35">
      <c r="Q1027"/>
    </row>
    <row r="1028" spans="17:17" x14ac:dyDescent="0.35">
      <c r="Q1028"/>
    </row>
    <row r="1029" spans="17:17" x14ac:dyDescent="0.35">
      <c r="Q1029"/>
    </row>
    <row r="1030" spans="17:17" x14ac:dyDescent="0.35">
      <c r="Q1030"/>
    </row>
    <row r="1031" spans="17:17" x14ac:dyDescent="0.35">
      <c r="Q1031"/>
    </row>
    <row r="1032" spans="17:17" x14ac:dyDescent="0.35">
      <c r="Q1032"/>
    </row>
    <row r="1033" spans="17:17" x14ac:dyDescent="0.35">
      <c r="Q1033"/>
    </row>
    <row r="1034" spans="17:17" x14ac:dyDescent="0.35">
      <c r="Q1034"/>
    </row>
    <row r="1035" spans="17:17" x14ac:dyDescent="0.35">
      <c r="Q1035"/>
    </row>
    <row r="1036" spans="17:17" x14ac:dyDescent="0.35">
      <c r="Q1036"/>
    </row>
    <row r="1037" spans="17:17" x14ac:dyDescent="0.35">
      <c r="Q1037"/>
    </row>
    <row r="1038" spans="17:17" x14ac:dyDescent="0.35">
      <c r="Q1038"/>
    </row>
    <row r="1039" spans="17:17" x14ac:dyDescent="0.35">
      <c r="Q1039"/>
    </row>
    <row r="1040" spans="17:17" x14ac:dyDescent="0.35">
      <c r="Q1040"/>
    </row>
    <row r="1041" spans="17:17" x14ac:dyDescent="0.35">
      <c r="Q1041"/>
    </row>
    <row r="1042" spans="17:17" x14ac:dyDescent="0.35">
      <c r="Q1042"/>
    </row>
    <row r="1043" spans="17:17" x14ac:dyDescent="0.35">
      <c r="Q1043"/>
    </row>
    <row r="1044" spans="17:17" x14ac:dyDescent="0.35">
      <c r="Q1044"/>
    </row>
    <row r="1045" spans="17:17" x14ac:dyDescent="0.35">
      <c r="Q1045"/>
    </row>
    <row r="1046" spans="17:17" x14ac:dyDescent="0.35">
      <c r="Q1046"/>
    </row>
    <row r="1047" spans="17:17" x14ac:dyDescent="0.35">
      <c r="Q1047"/>
    </row>
    <row r="1048" spans="17:17" x14ac:dyDescent="0.35">
      <c r="Q1048"/>
    </row>
    <row r="1049" spans="17:17" x14ac:dyDescent="0.35">
      <c r="Q1049"/>
    </row>
    <row r="1050" spans="17:17" x14ac:dyDescent="0.35">
      <c r="Q1050"/>
    </row>
    <row r="1051" spans="17:17" x14ac:dyDescent="0.35">
      <c r="Q1051"/>
    </row>
    <row r="1052" spans="17:17" x14ac:dyDescent="0.35">
      <c r="Q1052"/>
    </row>
    <row r="1053" spans="17:17" x14ac:dyDescent="0.35">
      <c r="Q1053"/>
    </row>
    <row r="1054" spans="17:17" x14ac:dyDescent="0.35">
      <c r="Q1054"/>
    </row>
    <row r="1055" spans="17:17" x14ac:dyDescent="0.35">
      <c r="Q1055"/>
    </row>
    <row r="1056" spans="17:17" x14ac:dyDescent="0.35">
      <c r="Q1056"/>
    </row>
    <row r="1057" spans="17:17" x14ac:dyDescent="0.35">
      <c r="Q1057"/>
    </row>
    <row r="1058" spans="17:17" x14ac:dyDescent="0.35">
      <c r="Q1058"/>
    </row>
    <row r="1059" spans="17:17" x14ac:dyDescent="0.35">
      <c r="Q1059"/>
    </row>
    <row r="1060" spans="17:17" x14ac:dyDescent="0.35">
      <c r="Q1060"/>
    </row>
    <row r="1061" spans="17:17" x14ac:dyDescent="0.35">
      <c r="Q1061"/>
    </row>
    <row r="1062" spans="17:17" x14ac:dyDescent="0.35">
      <c r="Q1062"/>
    </row>
    <row r="1063" spans="17:17" x14ac:dyDescent="0.35">
      <c r="Q1063"/>
    </row>
    <row r="1064" spans="17:17" x14ac:dyDescent="0.35">
      <c r="Q1064"/>
    </row>
    <row r="1065" spans="17:17" x14ac:dyDescent="0.35">
      <c r="Q1065"/>
    </row>
    <row r="1066" spans="17:17" x14ac:dyDescent="0.35">
      <c r="Q1066"/>
    </row>
    <row r="1067" spans="17:17" x14ac:dyDescent="0.35">
      <c r="Q1067"/>
    </row>
    <row r="1068" spans="17:17" x14ac:dyDescent="0.35">
      <c r="Q1068"/>
    </row>
    <row r="1069" spans="17:17" x14ac:dyDescent="0.35">
      <c r="Q1069"/>
    </row>
    <row r="1070" spans="17:17" x14ac:dyDescent="0.35">
      <c r="Q1070"/>
    </row>
    <row r="1071" spans="17:17" x14ac:dyDescent="0.35">
      <c r="Q1071"/>
    </row>
    <row r="1072" spans="17:17" x14ac:dyDescent="0.35">
      <c r="Q1072"/>
    </row>
    <row r="1073" spans="17:17" x14ac:dyDescent="0.35">
      <c r="Q1073"/>
    </row>
    <row r="1074" spans="17:17" x14ac:dyDescent="0.35">
      <c r="Q1074"/>
    </row>
    <row r="1075" spans="17:17" x14ac:dyDescent="0.35">
      <c r="Q1075"/>
    </row>
    <row r="1076" spans="17:17" x14ac:dyDescent="0.35">
      <c r="Q1076"/>
    </row>
    <row r="1077" spans="17:17" x14ac:dyDescent="0.35">
      <c r="Q1077"/>
    </row>
    <row r="1078" spans="17:17" x14ac:dyDescent="0.35">
      <c r="Q1078"/>
    </row>
    <row r="1079" spans="17:17" x14ac:dyDescent="0.35">
      <c r="Q1079"/>
    </row>
    <row r="1080" spans="17:17" x14ac:dyDescent="0.35">
      <c r="Q1080"/>
    </row>
    <row r="1081" spans="17:17" x14ac:dyDescent="0.35">
      <c r="Q1081"/>
    </row>
    <row r="1082" spans="17:17" x14ac:dyDescent="0.35">
      <c r="Q1082"/>
    </row>
    <row r="1083" spans="17:17" x14ac:dyDescent="0.35">
      <c r="Q1083"/>
    </row>
    <row r="1084" spans="17:17" x14ac:dyDescent="0.35">
      <c r="Q1084"/>
    </row>
    <row r="1085" spans="17:17" x14ac:dyDescent="0.35">
      <c r="Q1085"/>
    </row>
    <row r="1086" spans="17:17" x14ac:dyDescent="0.35">
      <c r="Q1086"/>
    </row>
    <row r="1087" spans="17:17" x14ac:dyDescent="0.35">
      <c r="Q1087"/>
    </row>
    <row r="1088" spans="17:17" x14ac:dyDescent="0.35">
      <c r="Q1088"/>
    </row>
    <row r="1089" spans="17:17" x14ac:dyDescent="0.35">
      <c r="Q1089"/>
    </row>
    <row r="1090" spans="17:17" x14ac:dyDescent="0.35">
      <c r="Q1090"/>
    </row>
    <row r="1091" spans="17:17" x14ac:dyDescent="0.35">
      <c r="Q1091"/>
    </row>
    <row r="1092" spans="17:17" x14ac:dyDescent="0.35">
      <c r="Q1092"/>
    </row>
    <row r="1093" spans="17:17" x14ac:dyDescent="0.35">
      <c r="Q1093"/>
    </row>
    <row r="1094" spans="17:17" x14ac:dyDescent="0.35">
      <c r="Q1094"/>
    </row>
    <row r="1095" spans="17:17" x14ac:dyDescent="0.35">
      <c r="Q1095"/>
    </row>
    <row r="1096" spans="17:17" x14ac:dyDescent="0.35">
      <c r="Q1096"/>
    </row>
    <row r="1097" spans="17:17" x14ac:dyDescent="0.35">
      <c r="Q1097"/>
    </row>
    <row r="1098" spans="17:17" x14ac:dyDescent="0.35">
      <c r="Q1098"/>
    </row>
    <row r="1099" spans="17:17" x14ac:dyDescent="0.35">
      <c r="Q1099"/>
    </row>
    <row r="1100" spans="17:17" x14ac:dyDescent="0.35">
      <c r="Q1100"/>
    </row>
    <row r="1101" spans="17:17" x14ac:dyDescent="0.35">
      <c r="Q1101"/>
    </row>
    <row r="1102" spans="17:17" x14ac:dyDescent="0.35">
      <c r="Q1102"/>
    </row>
    <row r="1103" spans="17:17" x14ac:dyDescent="0.35">
      <c r="Q1103"/>
    </row>
    <row r="1104" spans="17:17" x14ac:dyDescent="0.35">
      <c r="Q1104"/>
    </row>
    <row r="1105" spans="17:17" x14ac:dyDescent="0.35">
      <c r="Q1105"/>
    </row>
    <row r="1106" spans="17:17" x14ac:dyDescent="0.35">
      <c r="Q1106"/>
    </row>
    <row r="1107" spans="17:17" x14ac:dyDescent="0.35">
      <c r="Q1107"/>
    </row>
    <row r="1108" spans="17:17" x14ac:dyDescent="0.35">
      <c r="Q1108"/>
    </row>
    <row r="1109" spans="17:17" x14ac:dyDescent="0.35">
      <c r="Q1109"/>
    </row>
    <row r="1110" spans="17:17" x14ac:dyDescent="0.35">
      <c r="Q1110"/>
    </row>
    <row r="1111" spans="17:17" x14ac:dyDescent="0.35">
      <c r="Q1111"/>
    </row>
    <row r="1112" spans="17:17" x14ac:dyDescent="0.35">
      <c r="Q1112"/>
    </row>
    <row r="1113" spans="17:17" x14ac:dyDescent="0.35">
      <c r="Q1113"/>
    </row>
    <row r="1114" spans="17:17" x14ac:dyDescent="0.35">
      <c r="Q1114"/>
    </row>
    <row r="1115" spans="17:17" x14ac:dyDescent="0.35">
      <c r="Q1115"/>
    </row>
    <row r="1116" spans="17:17" x14ac:dyDescent="0.35">
      <c r="Q1116"/>
    </row>
    <row r="1117" spans="17:17" x14ac:dyDescent="0.35">
      <c r="Q1117"/>
    </row>
    <row r="1118" spans="17:17" x14ac:dyDescent="0.35">
      <c r="Q1118"/>
    </row>
    <row r="1119" spans="17:17" x14ac:dyDescent="0.35">
      <c r="Q1119"/>
    </row>
    <row r="1120" spans="17:17" x14ac:dyDescent="0.35">
      <c r="Q1120"/>
    </row>
    <row r="1121" spans="17:18" x14ac:dyDescent="0.35">
      <c r="Q1121"/>
    </row>
    <row r="1122" spans="17:18" x14ac:dyDescent="0.35">
      <c r="Q1122"/>
    </row>
    <row r="1123" spans="17:18" x14ac:dyDescent="0.35">
      <c r="Q1123"/>
    </row>
    <row r="1124" spans="17:18" x14ac:dyDescent="0.35">
      <c r="Q1124"/>
    </row>
    <row r="1125" spans="17:18" x14ac:dyDescent="0.35">
      <c r="Q1125"/>
    </row>
    <row r="1126" spans="17:18" x14ac:dyDescent="0.35">
      <c r="Q1126"/>
    </row>
    <row r="1127" spans="17:18" x14ac:dyDescent="0.35">
      <c r="Q1127"/>
    </row>
    <row r="1128" spans="17:18" x14ac:dyDescent="0.35">
      <c r="Q1128"/>
    </row>
    <row r="1129" spans="17:18" x14ac:dyDescent="0.35">
      <c r="Q1129"/>
    </row>
    <row r="1130" spans="17:18" x14ac:dyDescent="0.35">
      <c r="Q1130"/>
    </row>
    <row r="1131" spans="17:18" x14ac:dyDescent="0.35">
      <c r="Q1131"/>
    </row>
    <row r="1132" spans="17:18" x14ac:dyDescent="0.35">
      <c r="Q1132"/>
    </row>
    <row r="1133" spans="17:18" x14ac:dyDescent="0.35">
      <c r="Q1133"/>
      <c r="R1133" s="2"/>
    </row>
    <row r="1134" spans="17:18" x14ac:dyDescent="0.35">
      <c r="Q1134"/>
      <c r="R1134" s="2"/>
    </row>
    <row r="1135" spans="17:18" x14ac:dyDescent="0.35">
      <c r="Q1135"/>
      <c r="R1135" s="2"/>
    </row>
    <row r="1136" spans="17:18" x14ac:dyDescent="0.35">
      <c r="Q1136"/>
      <c r="R1136" s="2"/>
    </row>
    <row r="1148" spans="1:47" s="50" customFormat="1" x14ac:dyDescent="0.35">
      <c r="A1148"/>
      <c r="B1148"/>
      <c r="C1148"/>
      <c r="D1148"/>
      <c r="E1148"/>
      <c r="F1148"/>
      <c r="G1148"/>
      <c r="H1148"/>
      <c r="I1148"/>
      <c r="J1148"/>
      <c r="K1148"/>
      <c r="L1148"/>
      <c r="M1148"/>
      <c r="P1148"/>
      <c r="Q1148" s="2"/>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row>
    <row r="1149" spans="1:47" s="50" customFormat="1" x14ac:dyDescent="0.35">
      <c r="A1149"/>
      <c r="B1149"/>
      <c r="C1149"/>
      <c r="D1149"/>
      <c r="E1149"/>
      <c r="F1149"/>
      <c r="G1149"/>
      <c r="H1149"/>
      <c r="I1149"/>
      <c r="J1149"/>
      <c r="K1149"/>
      <c r="L1149"/>
      <c r="M1149"/>
      <c r="P1149"/>
      <c r="Q1149" s="2"/>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row>
    <row r="1150" spans="1:47" s="50" customFormat="1" x14ac:dyDescent="0.35">
      <c r="A1150"/>
      <c r="B1150"/>
      <c r="C1150"/>
      <c r="D1150"/>
      <c r="E1150"/>
      <c r="F1150"/>
      <c r="G1150"/>
      <c r="H1150"/>
      <c r="I1150"/>
      <c r="J1150"/>
      <c r="K1150"/>
      <c r="L1150"/>
      <c r="M1150"/>
      <c r="P1150"/>
      <c r="Q1150" s="2"/>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row>
    <row r="1151" spans="1:47" s="50" customFormat="1" x14ac:dyDescent="0.35">
      <c r="A1151"/>
      <c r="B1151"/>
      <c r="C1151"/>
      <c r="D1151"/>
      <c r="E1151"/>
      <c r="F1151"/>
      <c r="G1151"/>
      <c r="H1151"/>
      <c r="I1151"/>
      <c r="J1151"/>
      <c r="K1151"/>
      <c r="L1151"/>
      <c r="M1151"/>
      <c r="P1151"/>
      <c r="Q1151" s="2"/>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row>
    <row r="1152" spans="1:47" s="50" customFormat="1" x14ac:dyDescent="0.35">
      <c r="A1152"/>
      <c r="B1152"/>
      <c r="C1152"/>
      <c r="D1152"/>
      <c r="E1152"/>
      <c r="F1152"/>
      <c r="G1152"/>
      <c r="H1152"/>
      <c r="I1152"/>
      <c r="J1152"/>
      <c r="K1152"/>
      <c r="L1152"/>
      <c r="M1152"/>
      <c r="P1152"/>
      <c r="Q1152" s="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row>
    <row r="1153" spans="1:47" s="50" customFormat="1" x14ac:dyDescent="0.35">
      <c r="A1153"/>
      <c r="B1153"/>
      <c r="C1153"/>
      <c r="D1153"/>
      <c r="E1153"/>
      <c r="F1153"/>
      <c r="G1153"/>
      <c r="H1153"/>
      <c r="I1153"/>
      <c r="J1153"/>
      <c r="K1153"/>
      <c r="L1153"/>
      <c r="M1153"/>
      <c r="P1153"/>
      <c r="Q1153" s="2"/>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row>
    <row r="1154" spans="1:47" s="50" customFormat="1" x14ac:dyDescent="0.35">
      <c r="A1154"/>
      <c r="B1154"/>
      <c r="C1154"/>
      <c r="D1154"/>
      <c r="E1154"/>
      <c r="F1154"/>
      <c r="G1154"/>
      <c r="H1154"/>
      <c r="I1154"/>
      <c r="J1154"/>
      <c r="K1154"/>
      <c r="L1154"/>
      <c r="M1154"/>
      <c r="P1154"/>
      <c r="Q1154" s="2"/>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row>
    <row r="1155" spans="1:47" s="50" customFormat="1" x14ac:dyDescent="0.35">
      <c r="A1155"/>
      <c r="B1155"/>
      <c r="C1155"/>
      <c r="D1155"/>
      <c r="E1155"/>
      <c r="F1155"/>
      <c r="G1155"/>
      <c r="H1155"/>
      <c r="I1155"/>
      <c r="J1155"/>
      <c r="K1155"/>
      <c r="L1155"/>
      <c r="M1155"/>
      <c r="P1155"/>
      <c r="Q1155" s="2"/>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row>
    <row r="1156" spans="1:47" s="50" customFormat="1" x14ac:dyDescent="0.35">
      <c r="A1156"/>
      <c r="B1156"/>
      <c r="C1156"/>
      <c r="D1156"/>
      <c r="E1156"/>
      <c r="F1156"/>
      <c r="G1156"/>
      <c r="H1156"/>
      <c r="I1156"/>
      <c r="J1156"/>
      <c r="K1156"/>
      <c r="L1156"/>
      <c r="M1156"/>
      <c r="P1156"/>
      <c r="Q1156" s="2"/>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row>
    <row r="1157" spans="1:47" s="50" customFormat="1" x14ac:dyDescent="0.35">
      <c r="A1157"/>
      <c r="B1157"/>
      <c r="C1157"/>
      <c r="D1157"/>
      <c r="E1157"/>
      <c r="F1157"/>
      <c r="G1157"/>
      <c r="H1157"/>
      <c r="I1157"/>
      <c r="J1157"/>
      <c r="K1157"/>
      <c r="L1157"/>
      <c r="M1157"/>
      <c r="P1157"/>
      <c r="Q1157" s="2"/>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row>
    <row r="1158" spans="1:47" s="50" customFormat="1" x14ac:dyDescent="0.35">
      <c r="A1158"/>
      <c r="B1158"/>
      <c r="C1158"/>
      <c r="D1158"/>
      <c r="E1158"/>
      <c r="F1158"/>
      <c r="G1158"/>
      <c r="H1158"/>
      <c r="I1158"/>
      <c r="J1158"/>
      <c r="K1158"/>
      <c r="L1158"/>
      <c r="M1158"/>
      <c r="P1158"/>
      <c r="Q1158" s="2"/>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row>
    <row r="1159" spans="1:47" s="50" customFormat="1" x14ac:dyDescent="0.35">
      <c r="A1159"/>
      <c r="B1159"/>
      <c r="C1159"/>
      <c r="D1159"/>
      <c r="E1159"/>
      <c r="F1159"/>
      <c r="G1159"/>
      <c r="H1159"/>
      <c r="I1159"/>
      <c r="J1159"/>
      <c r="K1159"/>
      <c r="L1159"/>
      <c r="M1159"/>
      <c r="P1159"/>
      <c r="Q1159" s="2"/>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row>
    <row r="1160" spans="1:47" s="50" customFormat="1" x14ac:dyDescent="0.35">
      <c r="A1160"/>
      <c r="B1160"/>
      <c r="C1160"/>
      <c r="D1160"/>
      <c r="E1160"/>
      <c r="F1160"/>
      <c r="G1160"/>
      <c r="H1160"/>
      <c r="I1160"/>
      <c r="J1160"/>
      <c r="K1160"/>
      <c r="L1160"/>
      <c r="M1160"/>
      <c r="P1160"/>
      <c r="Q1160" s="2"/>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row>
    <row r="1161" spans="1:47" s="50" customFormat="1" x14ac:dyDescent="0.35">
      <c r="A1161"/>
      <c r="B1161"/>
      <c r="C1161"/>
      <c r="D1161"/>
      <c r="E1161"/>
      <c r="F1161"/>
      <c r="G1161"/>
      <c r="H1161"/>
      <c r="I1161"/>
      <c r="J1161"/>
      <c r="K1161"/>
      <c r="L1161"/>
      <c r="M1161"/>
      <c r="P1161"/>
      <c r="Q1161" s="2"/>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row>
    <row r="1162" spans="1:47" s="50" customFormat="1" x14ac:dyDescent="0.35">
      <c r="A1162"/>
      <c r="B1162"/>
      <c r="C1162"/>
      <c r="D1162"/>
      <c r="E1162"/>
      <c r="F1162"/>
      <c r="G1162"/>
      <c r="H1162"/>
      <c r="I1162"/>
      <c r="J1162"/>
      <c r="K1162"/>
      <c r="L1162"/>
      <c r="M1162"/>
      <c r="P1162"/>
      <c r="Q1162" s="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row>
    <row r="1163" spans="1:47" s="50" customFormat="1" x14ac:dyDescent="0.35">
      <c r="A1163"/>
      <c r="B1163"/>
      <c r="C1163"/>
      <c r="D1163"/>
      <c r="E1163"/>
      <c r="F1163"/>
      <c r="G1163"/>
      <c r="H1163"/>
      <c r="I1163"/>
      <c r="J1163"/>
      <c r="K1163"/>
      <c r="L1163"/>
      <c r="M1163"/>
      <c r="P1163"/>
      <c r="Q1163" s="2"/>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row>
    <row r="1164" spans="1:47" s="50" customFormat="1" x14ac:dyDescent="0.35">
      <c r="A1164"/>
      <c r="B1164"/>
      <c r="C1164"/>
      <c r="D1164"/>
      <c r="E1164"/>
      <c r="F1164"/>
      <c r="G1164"/>
      <c r="H1164"/>
      <c r="I1164"/>
      <c r="J1164"/>
      <c r="K1164"/>
      <c r="L1164"/>
      <c r="M1164"/>
      <c r="P1164"/>
      <c r="Q1164" s="2"/>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row>
    <row r="1165" spans="1:47" s="50" customFormat="1" x14ac:dyDescent="0.35">
      <c r="A1165"/>
      <c r="B1165"/>
      <c r="C1165"/>
      <c r="D1165"/>
      <c r="E1165"/>
      <c r="F1165"/>
      <c r="G1165"/>
      <c r="H1165"/>
      <c r="I1165"/>
      <c r="J1165"/>
      <c r="K1165"/>
      <c r="L1165"/>
      <c r="M1165"/>
      <c r="P1165"/>
      <c r="Q1165" s="2"/>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row>
    <row r="1166" spans="1:47" s="50" customFormat="1" x14ac:dyDescent="0.35">
      <c r="A1166"/>
      <c r="B1166"/>
      <c r="C1166"/>
      <c r="D1166"/>
      <c r="E1166"/>
      <c r="F1166"/>
      <c r="G1166"/>
      <c r="H1166"/>
      <c r="I1166"/>
      <c r="J1166"/>
      <c r="K1166"/>
      <c r="L1166"/>
      <c r="M1166"/>
      <c r="P1166"/>
      <c r="Q1166" s="2"/>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row>
    <row r="1167" spans="1:47" s="50" customFormat="1" x14ac:dyDescent="0.35">
      <c r="A1167"/>
      <c r="B1167"/>
      <c r="C1167"/>
      <c r="D1167"/>
      <c r="E1167"/>
      <c r="F1167"/>
      <c r="G1167"/>
      <c r="H1167"/>
      <c r="I1167"/>
      <c r="J1167"/>
      <c r="K1167"/>
      <c r="L1167"/>
      <c r="M1167"/>
      <c r="P1167"/>
      <c r="Q1167" s="2"/>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row>
    <row r="1168" spans="1:47" s="50" customFormat="1" x14ac:dyDescent="0.35">
      <c r="A1168"/>
      <c r="B1168"/>
      <c r="C1168"/>
      <c r="D1168"/>
      <c r="E1168"/>
      <c r="F1168"/>
      <c r="G1168"/>
      <c r="H1168"/>
      <c r="I1168"/>
      <c r="J1168"/>
      <c r="K1168"/>
      <c r="L1168"/>
      <c r="M1168"/>
      <c r="P1168"/>
      <c r="Q1168" s="2"/>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row>
    <row r="1169" spans="1:47" s="50" customFormat="1" x14ac:dyDescent="0.35">
      <c r="A1169"/>
      <c r="B1169"/>
      <c r="C1169"/>
      <c r="D1169"/>
      <c r="E1169"/>
      <c r="F1169"/>
      <c r="G1169"/>
      <c r="H1169"/>
      <c r="I1169"/>
      <c r="J1169"/>
      <c r="K1169"/>
      <c r="L1169"/>
      <c r="M1169"/>
      <c r="P1169"/>
      <c r="Q1169" s="2"/>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row>
    <row r="1170" spans="1:47" s="50" customFormat="1" x14ac:dyDescent="0.35">
      <c r="A1170"/>
      <c r="B1170"/>
      <c r="C1170"/>
      <c r="D1170"/>
      <c r="E1170"/>
      <c r="F1170"/>
      <c r="G1170"/>
      <c r="H1170"/>
      <c r="I1170"/>
      <c r="J1170"/>
      <c r="K1170"/>
      <c r="L1170"/>
      <c r="M1170"/>
      <c r="P1170"/>
      <c r="Q1170" s="2"/>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row>
    <row r="1171" spans="1:47" s="50" customFormat="1" x14ac:dyDescent="0.35">
      <c r="A1171"/>
      <c r="B1171"/>
      <c r="C1171"/>
      <c r="D1171"/>
      <c r="E1171"/>
      <c r="F1171"/>
      <c r="G1171"/>
      <c r="H1171"/>
      <c r="I1171"/>
      <c r="J1171"/>
      <c r="K1171"/>
      <c r="L1171"/>
      <c r="M1171"/>
      <c r="P1171"/>
      <c r="Q1171" s="2"/>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row>
    <row r="1172" spans="1:47" s="50" customFormat="1" x14ac:dyDescent="0.35">
      <c r="A1172"/>
      <c r="B1172"/>
      <c r="C1172"/>
      <c r="D1172"/>
      <c r="E1172"/>
      <c r="F1172"/>
      <c r="G1172"/>
      <c r="H1172"/>
      <c r="I1172"/>
      <c r="J1172"/>
      <c r="K1172"/>
      <c r="L1172"/>
      <c r="M1172"/>
      <c r="P1172"/>
      <c r="Q1172" s="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row>
    <row r="1173" spans="1:47" s="50" customFormat="1" x14ac:dyDescent="0.35">
      <c r="A1173"/>
      <c r="B1173"/>
      <c r="C1173"/>
      <c r="D1173"/>
      <c r="E1173"/>
      <c r="F1173"/>
      <c r="G1173"/>
      <c r="H1173"/>
      <c r="I1173"/>
      <c r="J1173"/>
      <c r="K1173"/>
      <c r="L1173"/>
      <c r="M1173"/>
      <c r="P1173"/>
      <c r="Q1173" s="2"/>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row>
    <row r="1174" spans="1:47" s="50" customFormat="1" x14ac:dyDescent="0.35">
      <c r="A1174"/>
      <c r="B1174"/>
      <c r="C1174"/>
      <c r="D1174"/>
      <c r="E1174"/>
      <c r="F1174"/>
      <c r="G1174"/>
      <c r="H1174"/>
      <c r="I1174"/>
      <c r="J1174"/>
      <c r="K1174"/>
      <c r="L1174"/>
      <c r="M1174"/>
      <c r="P1174"/>
      <c r="Q1174" s="2"/>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row>
    <row r="1175" spans="1:47" s="50" customFormat="1" x14ac:dyDescent="0.35">
      <c r="A1175"/>
      <c r="B1175"/>
      <c r="C1175"/>
      <c r="D1175"/>
      <c r="E1175"/>
      <c r="F1175"/>
      <c r="G1175"/>
      <c r="H1175"/>
      <c r="I1175"/>
      <c r="J1175"/>
      <c r="K1175"/>
      <c r="L1175"/>
      <c r="M1175"/>
      <c r="P1175"/>
      <c r="Q1175" s="2"/>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row>
    <row r="1176" spans="1:47" s="50" customFormat="1" x14ac:dyDescent="0.35">
      <c r="A1176"/>
      <c r="B1176"/>
      <c r="C1176"/>
      <c r="D1176"/>
      <c r="E1176"/>
      <c r="F1176"/>
      <c r="G1176"/>
      <c r="H1176"/>
      <c r="I1176"/>
      <c r="J1176"/>
      <c r="K1176"/>
      <c r="L1176"/>
      <c r="M1176"/>
      <c r="P1176"/>
      <c r="Q1176" s="2"/>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row>
    <row r="1177" spans="1:47" s="50" customFormat="1" x14ac:dyDescent="0.35">
      <c r="A1177"/>
      <c r="B1177"/>
      <c r="C1177"/>
      <c r="D1177"/>
      <c r="E1177"/>
      <c r="F1177"/>
      <c r="G1177"/>
      <c r="H1177"/>
      <c r="I1177"/>
      <c r="J1177"/>
      <c r="K1177"/>
      <c r="L1177"/>
      <c r="M1177"/>
      <c r="P1177"/>
      <c r="Q1177" s="2"/>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row>
    <row r="1178" spans="1:47" s="50" customFormat="1" x14ac:dyDescent="0.35">
      <c r="A1178"/>
      <c r="B1178"/>
      <c r="C1178"/>
      <c r="D1178"/>
      <c r="E1178"/>
      <c r="F1178"/>
      <c r="G1178"/>
      <c r="H1178"/>
      <c r="I1178"/>
      <c r="J1178"/>
      <c r="K1178"/>
      <c r="L1178"/>
      <c r="M1178"/>
      <c r="P1178"/>
      <c r="Q1178" s="2"/>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row>
    <row r="1179" spans="1:47" s="50" customFormat="1" x14ac:dyDescent="0.35">
      <c r="A1179"/>
      <c r="B1179"/>
      <c r="C1179"/>
      <c r="D1179"/>
      <c r="E1179"/>
      <c r="F1179"/>
      <c r="G1179"/>
      <c r="H1179"/>
      <c r="I1179"/>
      <c r="J1179"/>
      <c r="K1179"/>
      <c r="L1179"/>
      <c r="M1179"/>
      <c r="P1179"/>
      <c r="Q1179" s="2"/>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row>
    <row r="1180" spans="1:47" s="50" customFormat="1" x14ac:dyDescent="0.35">
      <c r="A1180"/>
      <c r="B1180"/>
      <c r="C1180"/>
      <c r="D1180"/>
      <c r="E1180"/>
      <c r="F1180"/>
      <c r="G1180"/>
      <c r="H1180"/>
      <c r="I1180"/>
      <c r="J1180"/>
      <c r="K1180"/>
      <c r="L1180"/>
      <c r="M1180"/>
      <c r="P1180"/>
      <c r="Q1180" s="2"/>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row>
    <row r="1181" spans="1:47" s="50" customFormat="1" x14ac:dyDescent="0.35">
      <c r="A1181"/>
      <c r="B1181"/>
      <c r="C1181"/>
      <c r="D1181"/>
      <c r="E1181"/>
      <c r="F1181"/>
      <c r="G1181"/>
      <c r="H1181"/>
      <c r="I1181"/>
      <c r="J1181"/>
      <c r="K1181"/>
      <c r="L1181"/>
      <c r="M1181"/>
      <c r="P1181"/>
      <c r="Q1181" s="2"/>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row>
    <row r="1182" spans="1:47" s="50" customFormat="1" x14ac:dyDescent="0.35">
      <c r="A1182"/>
      <c r="B1182"/>
      <c r="C1182"/>
      <c r="D1182"/>
      <c r="E1182"/>
      <c r="F1182"/>
      <c r="G1182"/>
      <c r="H1182"/>
      <c r="I1182"/>
      <c r="J1182"/>
      <c r="K1182"/>
      <c r="L1182"/>
      <c r="M1182"/>
      <c r="P1182"/>
      <c r="Q1182" s="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row>
    <row r="1183" spans="1:47" s="50" customFormat="1" x14ac:dyDescent="0.35">
      <c r="A1183"/>
      <c r="B1183"/>
      <c r="C1183"/>
      <c r="D1183"/>
      <c r="E1183"/>
      <c r="F1183"/>
      <c r="G1183"/>
      <c r="H1183"/>
      <c r="I1183"/>
      <c r="J1183"/>
      <c r="K1183"/>
      <c r="L1183"/>
      <c r="M1183"/>
      <c r="P1183"/>
      <c r="Q1183" s="2"/>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row>
    <row r="1184" spans="1:47" s="50" customFormat="1" x14ac:dyDescent="0.35">
      <c r="A1184"/>
      <c r="B1184"/>
      <c r="C1184"/>
      <c r="D1184"/>
      <c r="E1184"/>
      <c r="F1184"/>
      <c r="G1184"/>
      <c r="H1184"/>
      <c r="I1184"/>
      <c r="J1184"/>
      <c r="K1184"/>
      <c r="L1184"/>
      <c r="M1184"/>
      <c r="P1184"/>
      <c r="Q1184" s="2"/>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row>
    <row r="1185" spans="1:47" s="50" customFormat="1" x14ac:dyDescent="0.35">
      <c r="A1185"/>
      <c r="B1185"/>
      <c r="C1185"/>
      <c r="D1185"/>
      <c r="E1185"/>
      <c r="F1185"/>
      <c r="G1185"/>
      <c r="H1185"/>
      <c r="I1185"/>
      <c r="J1185"/>
      <c r="K1185"/>
      <c r="L1185"/>
      <c r="M1185"/>
      <c r="P1185"/>
      <c r="Q1185" s="2"/>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row>
    <row r="1186" spans="1:47" s="50" customFormat="1" x14ac:dyDescent="0.35">
      <c r="A1186"/>
      <c r="B1186"/>
      <c r="C1186"/>
      <c r="D1186"/>
      <c r="E1186"/>
      <c r="F1186"/>
      <c r="G1186"/>
      <c r="H1186"/>
      <c r="I1186"/>
      <c r="J1186"/>
      <c r="K1186"/>
      <c r="L1186"/>
      <c r="M1186"/>
      <c r="P1186"/>
      <c r="Q1186" s="2"/>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row>
    <row r="1187" spans="1:47" s="50" customFormat="1" x14ac:dyDescent="0.35">
      <c r="A1187"/>
      <c r="B1187"/>
      <c r="C1187"/>
      <c r="D1187"/>
      <c r="E1187"/>
      <c r="F1187"/>
      <c r="G1187"/>
      <c r="H1187"/>
      <c r="I1187"/>
      <c r="J1187"/>
      <c r="K1187"/>
      <c r="L1187"/>
      <c r="M1187"/>
      <c r="P1187"/>
      <c r="Q1187" s="2"/>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row>
    <row r="1188" spans="1:47" s="50" customFormat="1" x14ac:dyDescent="0.35">
      <c r="A1188"/>
      <c r="B1188"/>
      <c r="C1188"/>
      <c r="D1188"/>
      <c r="E1188"/>
      <c r="F1188"/>
      <c r="G1188"/>
      <c r="H1188"/>
      <c r="I1188"/>
      <c r="J1188"/>
      <c r="K1188"/>
      <c r="L1188"/>
      <c r="M1188"/>
      <c r="P1188"/>
      <c r="Q1188" s="2"/>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row>
    <row r="1189" spans="1:47" s="50" customFormat="1" x14ac:dyDescent="0.35">
      <c r="A1189"/>
      <c r="B1189"/>
      <c r="C1189"/>
      <c r="D1189"/>
      <c r="E1189"/>
      <c r="F1189"/>
      <c r="G1189"/>
      <c r="H1189"/>
      <c r="I1189"/>
      <c r="J1189"/>
      <c r="K1189"/>
      <c r="L1189"/>
      <c r="M1189"/>
      <c r="P1189"/>
      <c r="Q1189" s="2"/>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row>
    <row r="1190" spans="1:47" s="50" customFormat="1" x14ac:dyDescent="0.35">
      <c r="A1190"/>
      <c r="B1190"/>
      <c r="C1190"/>
      <c r="D1190"/>
      <c r="E1190"/>
      <c r="F1190"/>
      <c r="G1190"/>
      <c r="H1190"/>
      <c r="I1190"/>
      <c r="J1190"/>
      <c r="K1190"/>
      <c r="L1190"/>
      <c r="M1190"/>
      <c r="P1190"/>
      <c r="Q1190" s="2"/>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row>
    <row r="1191" spans="1:47" s="50" customFormat="1" x14ac:dyDescent="0.35">
      <c r="A1191"/>
      <c r="B1191"/>
      <c r="C1191"/>
      <c r="D1191"/>
      <c r="E1191"/>
      <c r="F1191"/>
      <c r="G1191"/>
      <c r="H1191"/>
      <c r="I1191"/>
      <c r="J1191"/>
      <c r="K1191"/>
      <c r="L1191"/>
      <c r="M1191"/>
      <c r="P1191"/>
      <c r="Q1191" s="2"/>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row>
    <row r="1192" spans="1:47" s="50" customFormat="1" x14ac:dyDescent="0.35">
      <c r="A1192"/>
      <c r="B1192"/>
      <c r="C1192"/>
      <c r="D1192"/>
      <c r="E1192"/>
      <c r="F1192"/>
      <c r="G1192"/>
      <c r="H1192"/>
      <c r="I1192"/>
      <c r="J1192"/>
      <c r="K1192"/>
      <c r="L1192"/>
      <c r="M1192"/>
      <c r="P1192"/>
      <c r="Q1192" s="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row>
    <row r="1193" spans="1:47" s="50" customFormat="1" x14ac:dyDescent="0.35">
      <c r="A1193"/>
      <c r="B1193"/>
      <c r="C1193"/>
      <c r="D1193"/>
      <c r="E1193"/>
      <c r="F1193"/>
      <c r="G1193"/>
      <c r="H1193"/>
      <c r="I1193"/>
      <c r="J1193"/>
      <c r="K1193"/>
      <c r="L1193"/>
      <c r="M1193"/>
      <c r="P1193"/>
      <c r="Q1193" s="2"/>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row>
    <row r="1194" spans="1:47" s="50" customFormat="1" x14ac:dyDescent="0.35">
      <c r="A1194"/>
      <c r="B1194"/>
      <c r="C1194"/>
      <c r="D1194"/>
      <c r="E1194"/>
      <c r="F1194"/>
      <c r="G1194"/>
      <c r="H1194"/>
      <c r="I1194"/>
      <c r="J1194"/>
      <c r="K1194"/>
      <c r="L1194"/>
      <c r="M1194"/>
      <c r="P1194"/>
      <c r="Q1194" s="2"/>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row>
    <row r="1195" spans="1:47" s="50" customFormat="1" x14ac:dyDescent="0.35">
      <c r="A1195"/>
      <c r="B1195"/>
      <c r="C1195"/>
      <c r="D1195"/>
      <c r="E1195"/>
      <c r="F1195"/>
      <c r="G1195"/>
      <c r="H1195"/>
      <c r="I1195"/>
      <c r="J1195"/>
      <c r="K1195"/>
      <c r="L1195"/>
      <c r="M1195"/>
      <c r="P1195"/>
      <c r="Q1195" s="2"/>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row>
    <row r="1196" spans="1:47" s="50" customFormat="1" x14ac:dyDescent="0.35">
      <c r="A1196"/>
      <c r="B1196"/>
      <c r="C1196"/>
      <c r="D1196"/>
      <c r="E1196"/>
      <c r="F1196"/>
      <c r="G1196"/>
      <c r="H1196"/>
      <c r="I1196"/>
      <c r="J1196"/>
      <c r="K1196"/>
      <c r="L1196"/>
      <c r="M1196"/>
      <c r="P1196"/>
      <c r="Q1196" s="2"/>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row>
    <row r="1197" spans="1:47" s="50" customFormat="1" x14ac:dyDescent="0.35">
      <c r="A1197"/>
      <c r="B1197"/>
      <c r="C1197"/>
      <c r="D1197"/>
      <c r="E1197"/>
      <c r="F1197"/>
      <c r="G1197"/>
      <c r="H1197"/>
      <c r="I1197"/>
      <c r="J1197"/>
      <c r="K1197"/>
      <c r="L1197"/>
      <c r="M1197"/>
      <c r="P1197"/>
      <c r="Q1197" s="2"/>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row>
    <row r="1198" spans="1:47" s="50" customFormat="1" x14ac:dyDescent="0.35">
      <c r="A1198"/>
      <c r="B1198"/>
      <c r="C1198"/>
      <c r="D1198"/>
      <c r="E1198"/>
      <c r="F1198"/>
      <c r="G1198"/>
      <c r="H1198"/>
      <c r="I1198"/>
      <c r="J1198"/>
      <c r="K1198"/>
      <c r="L1198"/>
      <c r="M1198"/>
      <c r="P1198"/>
      <c r="Q1198" s="2"/>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row>
    <row r="1199" spans="1:47" s="50" customFormat="1" x14ac:dyDescent="0.35">
      <c r="A1199"/>
      <c r="B1199"/>
      <c r="C1199"/>
      <c r="D1199"/>
      <c r="E1199"/>
      <c r="F1199"/>
      <c r="G1199"/>
      <c r="H1199"/>
      <c r="I1199"/>
      <c r="J1199"/>
      <c r="K1199"/>
      <c r="L1199"/>
      <c r="M1199"/>
      <c r="P1199"/>
      <c r="Q1199" s="2"/>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row>
    <row r="1200" spans="1:47" s="50" customFormat="1" x14ac:dyDescent="0.35">
      <c r="A1200"/>
      <c r="B1200"/>
      <c r="C1200"/>
      <c r="D1200"/>
      <c r="E1200"/>
      <c r="F1200"/>
      <c r="G1200"/>
      <c r="H1200"/>
      <c r="I1200"/>
      <c r="J1200"/>
      <c r="K1200"/>
      <c r="L1200"/>
      <c r="M1200"/>
      <c r="P1200"/>
      <c r="Q1200" s="2"/>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row>
    <row r="1201" spans="1:47" s="50" customFormat="1" x14ac:dyDescent="0.35">
      <c r="A1201"/>
      <c r="B1201"/>
      <c r="C1201"/>
      <c r="D1201"/>
      <c r="E1201"/>
      <c r="F1201"/>
      <c r="G1201"/>
      <c r="H1201"/>
      <c r="I1201"/>
      <c r="J1201"/>
      <c r="K1201"/>
      <c r="L1201"/>
      <c r="M1201"/>
      <c r="P1201"/>
      <c r="Q1201" s="2"/>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row>
    <row r="1202" spans="1:47" s="50" customFormat="1" x14ac:dyDescent="0.35">
      <c r="A1202"/>
      <c r="B1202"/>
      <c r="C1202"/>
      <c r="D1202"/>
      <c r="E1202"/>
      <c r="F1202"/>
      <c r="G1202"/>
      <c r="H1202"/>
      <c r="I1202"/>
      <c r="J1202"/>
      <c r="K1202"/>
      <c r="L1202"/>
      <c r="M1202"/>
      <c r="P1202"/>
      <c r="Q1202" s="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row>
    <row r="1203" spans="1:47" s="50" customFormat="1" x14ac:dyDescent="0.35">
      <c r="A1203"/>
      <c r="B1203"/>
      <c r="C1203"/>
      <c r="D1203"/>
      <c r="E1203"/>
      <c r="F1203"/>
      <c r="G1203"/>
      <c r="H1203"/>
      <c r="I1203"/>
      <c r="J1203"/>
      <c r="K1203"/>
      <c r="L1203"/>
      <c r="M1203"/>
      <c r="P1203"/>
      <c r="Q1203" s="2"/>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row>
    <row r="1204" spans="1:47" s="50" customFormat="1" x14ac:dyDescent="0.35">
      <c r="A1204"/>
      <c r="B1204"/>
      <c r="C1204"/>
      <c r="D1204"/>
      <c r="E1204"/>
      <c r="F1204"/>
      <c r="G1204"/>
      <c r="H1204"/>
      <c r="I1204"/>
      <c r="J1204"/>
      <c r="K1204"/>
      <c r="L1204"/>
      <c r="M1204"/>
      <c r="P1204"/>
      <c r="Q1204" s="2"/>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row>
    <row r="1205" spans="1:47" s="50" customFormat="1" x14ac:dyDescent="0.35">
      <c r="A1205"/>
      <c r="B1205"/>
      <c r="C1205"/>
      <c r="D1205"/>
      <c r="E1205"/>
      <c r="F1205"/>
      <c r="G1205"/>
      <c r="H1205"/>
      <c r="I1205"/>
      <c r="J1205"/>
      <c r="K1205"/>
      <c r="L1205"/>
      <c r="M1205"/>
      <c r="P1205"/>
      <c r="Q1205" s="2"/>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row>
    <row r="1206" spans="1:47" s="50" customFormat="1" x14ac:dyDescent="0.35">
      <c r="A1206"/>
      <c r="B1206"/>
      <c r="C1206"/>
      <c r="D1206"/>
      <c r="E1206"/>
      <c r="F1206"/>
      <c r="G1206"/>
      <c r="H1206"/>
      <c r="I1206"/>
      <c r="J1206"/>
      <c r="K1206"/>
      <c r="L1206"/>
      <c r="M1206"/>
      <c r="P1206"/>
      <c r="Q1206" s="2"/>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row>
    <row r="1207" spans="1:47" s="50" customFormat="1" x14ac:dyDescent="0.35">
      <c r="A1207"/>
      <c r="B1207"/>
      <c r="C1207"/>
      <c r="D1207"/>
      <c r="E1207"/>
      <c r="F1207"/>
      <c r="G1207"/>
      <c r="H1207"/>
      <c r="I1207"/>
      <c r="J1207"/>
      <c r="K1207"/>
      <c r="L1207"/>
      <c r="M1207"/>
      <c r="P1207"/>
      <c r="Q1207" s="2"/>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row>
    <row r="1208" spans="1:47" s="50" customFormat="1" x14ac:dyDescent="0.35">
      <c r="A1208"/>
      <c r="B1208"/>
      <c r="C1208"/>
      <c r="D1208"/>
      <c r="E1208"/>
      <c r="F1208"/>
      <c r="G1208"/>
      <c r="H1208"/>
      <c r="I1208"/>
      <c r="J1208"/>
      <c r="K1208"/>
      <c r="L1208"/>
      <c r="M1208"/>
      <c r="P1208"/>
      <c r="Q1208" s="2"/>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row>
    <row r="1209" spans="1:47" s="50" customFormat="1" x14ac:dyDescent="0.35">
      <c r="A1209"/>
      <c r="B1209"/>
      <c r="C1209"/>
      <c r="D1209"/>
      <c r="E1209"/>
      <c r="F1209"/>
      <c r="G1209"/>
      <c r="H1209"/>
      <c r="I1209"/>
      <c r="J1209"/>
      <c r="K1209"/>
      <c r="L1209"/>
      <c r="M1209"/>
      <c r="P1209"/>
      <c r="Q1209" s="2"/>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row>
    <row r="1210" spans="1:47" s="50" customFormat="1" x14ac:dyDescent="0.35">
      <c r="A1210"/>
      <c r="B1210"/>
      <c r="C1210"/>
      <c r="D1210"/>
      <c r="E1210"/>
      <c r="F1210"/>
      <c r="G1210"/>
      <c r="H1210"/>
      <c r="I1210"/>
      <c r="J1210"/>
      <c r="K1210"/>
      <c r="L1210"/>
      <c r="M1210"/>
      <c r="P1210"/>
      <c r="Q1210" s="2"/>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row>
    <row r="1211" spans="1:47" s="50" customFormat="1" x14ac:dyDescent="0.35">
      <c r="A1211"/>
      <c r="B1211"/>
      <c r="C1211"/>
      <c r="D1211"/>
      <c r="E1211"/>
      <c r="F1211"/>
      <c r="G1211"/>
      <c r="H1211"/>
      <c r="I1211"/>
      <c r="J1211"/>
      <c r="K1211"/>
      <c r="L1211"/>
      <c r="M1211"/>
      <c r="P1211"/>
      <c r="Q1211" s="2"/>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row>
    <row r="1212" spans="1:47" s="50" customFormat="1" x14ac:dyDescent="0.35">
      <c r="A1212"/>
      <c r="B1212"/>
      <c r="C1212"/>
      <c r="D1212"/>
      <c r="E1212"/>
      <c r="F1212"/>
      <c r="G1212"/>
      <c r="H1212"/>
      <c r="I1212"/>
      <c r="J1212"/>
      <c r="K1212"/>
      <c r="L1212"/>
      <c r="M1212"/>
      <c r="P1212"/>
      <c r="Q1212" s="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row>
    <row r="1213" spans="1:47" s="50" customFormat="1" x14ac:dyDescent="0.35">
      <c r="A1213"/>
      <c r="B1213"/>
      <c r="C1213"/>
      <c r="D1213"/>
      <c r="E1213"/>
      <c r="F1213"/>
      <c r="G1213"/>
      <c r="H1213"/>
      <c r="I1213"/>
      <c r="J1213"/>
      <c r="K1213"/>
      <c r="L1213"/>
      <c r="M1213"/>
      <c r="P1213"/>
      <c r="Q1213" s="2"/>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row>
    <row r="1214" spans="1:47" s="50" customFormat="1" x14ac:dyDescent="0.35">
      <c r="A1214"/>
      <c r="B1214"/>
      <c r="C1214"/>
      <c r="D1214"/>
      <c r="E1214"/>
      <c r="F1214"/>
      <c r="G1214"/>
      <c r="H1214"/>
      <c r="I1214"/>
      <c r="J1214"/>
      <c r="K1214"/>
      <c r="L1214"/>
      <c r="M1214"/>
      <c r="P1214"/>
      <c r="Q1214" s="2"/>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row>
    <row r="1215" spans="1:47" s="50" customFormat="1" x14ac:dyDescent="0.35">
      <c r="A1215"/>
      <c r="B1215"/>
      <c r="C1215"/>
      <c r="D1215"/>
      <c r="E1215"/>
      <c r="F1215"/>
      <c r="G1215"/>
      <c r="H1215"/>
      <c r="I1215"/>
      <c r="J1215"/>
      <c r="K1215"/>
      <c r="L1215"/>
      <c r="M1215"/>
      <c r="P1215"/>
      <c r="Q1215" s="2"/>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row>
    <row r="1216" spans="1:47" s="50" customFormat="1" x14ac:dyDescent="0.35">
      <c r="A1216"/>
      <c r="B1216"/>
      <c r="C1216"/>
      <c r="D1216"/>
      <c r="E1216"/>
      <c r="F1216"/>
      <c r="G1216"/>
      <c r="H1216"/>
      <c r="I1216"/>
      <c r="J1216"/>
      <c r="K1216"/>
      <c r="L1216"/>
      <c r="M1216"/>
      <c r="P1216"/>
      <c r="Q1216" s="2"/>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row>
    <row r="1217" spans="1:47" s="50" customFormat="1" x14ac:dyDescent="0.35">
      <c r="A1217"/>
      <c r="B1217"/>
      <c r="C1217"/>
      <c r="D1217"/>
      <c r="E1217"/>
      <c r="F1217"/>
      <c r="G1217"/>
      <c r="H1217"/>
      <c r="I1217"/>
      <c r="J1217"/>
      <c r="K1217"/>
      <c r="L1217"/>
      <c r="M1217"/>
      <c r="P1217"/>
      <c r="Q1217" s="2"/>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row>
    <row r="1218" spans="1:47" s="50" customFormat="1" x14ac:dyDescent="0.35">
      <c r="A1218"/>
      <c r="B1218"/>
      <c r="C1218"/>
      <c r="D1218"/>
      <c r="E1218"/>
      <c r="F1218"/>
      <c r="G1218"/>
      <c r="H1218"/>
      <c r="I1218"/>
      <c r="J1218"/>
      <c r="K1218"/>
      <c r="L1218"/>
      <c r="M1218"/>
      <c r="P1218"/>
      <c r="Q1218" s="2"/>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row>
    <row r="1219" spans="1:47" s="50" customFormat="1" x14ac:dyDescent="0.35">
      <c r="A1219"/>
      <c r="B1219"/>
      <c r="C1219"/>
      <c r="D1219"/>
      <c r="E1219"/>
      <c r="F1219"/>
      <c r="G1219"/>
      <c r="H1219"/>
      <c r="I1219"/>
      <c r="J1219"/>
      <c r="K1219"/>
      <c r="L1219"/>
      <c r="M1219"/>
      <c r="P1219"/>
      <c r="Q1219" s="2"/>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row>
    <row r="1220" spans="1:47" s="50" customFormat="1" x14ac:dyDescent="0.35">
      <c r="A1220"/>
      <c r="B1220"/>
      <c r="C1220"/>
      <c r="D1220"/>
      <c r="E1220"/>
      <c r="F1220"/>
      <c r="G1220"/>
      <c r="H1220"/>
      <c r="I1220"/>
      <c r="J1220"/>
      <c r="K1220"/>
      <c r="L1220"/>
      <c r="M1220"/>
      <c r="P1220"/>
      <c r="Q1220" s="2"/>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row>
    <row r="1221" spans="1:47" s="50" customFormat="1" x14ac:dyDescent="0.35">
      <c r="A1221"/>
      <c r="B1221"/>
      <c r="C1221"/>
      <c r="D1221"/>
      <c r="E1221"/>
      <c r="F1221"/>
      <c r="G1221"/>
      <c r="H1221"/>
      <c r="I1221"/>
      <c r="J1221"/>
      <c r="K1221"/>
      <c r="L1221"/>
      <c r="M1221"/>
      <c r="P1221"/>
      <c r="Q1221" s="2"/>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row>
    <row r="1222" spans="1:47" s="50" customFormat="1" x14ac:dyDescent="0.35">
      <c r="A1222"/>
      <c r="B1222"/>
      <c r="C1222"/>
      <c r="D1222"/>
      <c r="E1222"/>
      <c r="F1222"/>
      <c r="G1222"/>
      <c r="H1222"/>
      <c r="I1222"/>
      <c r="J1222"/>
      <c r="K1222"/>
      <c r="L1222"/>
      <c r="M1222"/>
      <c r="P1222"/>
      <c r="Q1222" s="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row>
    <row r="1223" spans="1:47" s="50" customFormat="1" x14ac:dyDescent="0.35">
      <c r="A1223"/>
      <c r="B1223"/>
      <c r="C1223"/>
      <c r="D1223"/>
      <c r="E1223"/>
      <c r="F1223"/>
      <c r="G1223"/>
      <c r="H1223"/>
      <c r="I1223"/>
      <c r="J1223"/>
      <c r="K1223"/>
      <c r="L1223"/>
      <c r="M1223"/>
      <c r="P1223"/>
      <c r="Q1223" s="2"/>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row>
    <row r="1224" spans="1:47" s="50" customFormat="1" x14ac:dyDescent="0.35">
      <c r="A1224"/>
      <c r="B1224"/>
      <c r="C1224"/>
      <c r="D1224"/>
      <c r="E1224"/>
      <c r="F1224"/>
      <c r="G1224"/>
      <c r="H1224"/>
      <c r="I1224"/>
      <c r="J1224"/>
      <c r="K1224"/>
      <c r="L1224"/>
      <c r="M1224"/>
      <c r="P1224"/>
      <c r="Q1224" s="2"/>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row>
    <row r="1225" spans="1:47" s="50" customFormat="1" x14ac:dyDescent="0.35">
      <c r="A1225"/>
      <c r="B1225"/>
      <c r="C1225"/>
      <c r="D1225"/>
      <c r="E1225"/>
      <c r="F1225"/>
      <c r="G1225"/>
      <c r="H1225"/>
      <c r="I1225"/>
      <c r="J1225"/>
      <c r="K1225"/>
      <c r="L1225"/>
      <c r="M1225"/>
      <c r="P1225"/>
      <c r="Q1225" s="2"/>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row>
    <row r="1226" spans="1:47" s="50" customFormat="1" x14ac:dyDescent="0.35">
      <c r="A1226"/>
      <c r="B1226"/>
      <c r="C1226"/>
      <c r="D1226"/>
      <c r="E1226"/>
      <c r="F1226"/>
      <c r="G1226"/>
      <c r="H1226"/>
      <c r="I1226"/>
      <c r="J1226"/>
      <c r="K1226"/>
      <c r="L1226"/>
      <c r="M1226"/>
      <c r="P1226"/>
      <c r="Q1226" s="2"/>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row>
    <row r="1227" spans="1:47" s="50" customFormat="1" x14ac:dyDescent="0.35">
      <c r="A1227"/>
      <c r="B1227"/>
      <c r="C1227"/>
      <c r="D1227"/>
      <c r="E1227"/>
      <c r="F1227"/>
      <c r="G1227"/>
      <c r="H1227"/>
      <c r="I1227"/>
      <c r="J1227"/>
      <c r="K1227"/>
      <c r="L1227"/>
      <c r="M1227"/>
      <c r="P1227"/>
      <c r="Q1227" s="2"/>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row>
    <row r="1228" spans="1:47" s="50" customFormat="1" x14ac:dyDescent="0.35">
      <c r="A1228"/>
      <c r="B1228"/>
      <c r="C1228"/>
      <c r="D1228"/>
      <c r="E1228"/>
      <c r="F1228"/>
      <c r="G1228"/>
      <c r="H1228"/>
      <c r="I1228"/>
      <c r="J1228"/>
      <c r="K1228"/>
      <c r="L1228"/>
      <c r="M1228"/>
      <c r="P1228"/>
      <c r="Q1228" s="2"/>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row>
    <row r="1229" spans="1:47" s="50" customFormat="1" x14ac:dyDescent="0.35">
      <c r="A1229"/>
      <c r="B1229"/>
      <c r="C1229"/>
      <c r="D1229"/>
      <c r="E1229"/>
      <c r="F1229"/>
      <c r="G1229"/>
      <c r="H1229"/>
      <c r="I1229"/>
      <c r="J1229"/>
      <c r="K1229"/>
      <c r="L1229"/>
      <c r="M1229"/>
      <c r="P1229"/>
      <c r="Q1229" s="2"/>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row>
    <row r="1230" spans="1:47" s="50" customFormat="1" x14ac:dyDescent="0.35">
      <c r="A1230"/>
      <c r="B1230"/>
      <c r="C1230"/>
      <c r="D1230"/>
      <c r="E1230"/>
      <c r="F1230"/>
      <c r="G1230"/>
      <c r="H1230"/>
      <c r="I1230"/>
      <c r="J1230"/>
      <c r="K1230"/>
      <c r="L1230"/>
      <c r="M1230"/>
      <c r="P1230"/>
      <c r="Q1230" s="2"/>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row>
    <row r="1231" spans="1:47" s="50" customFormat="1" x14ac:dyDescent="0.35">
      <c r="A1231"/>
      <c r="B1231"/>
      <c r="C1231"/>
      <c r="D1231"/>
      <c r="E1231"/>
      <c r="F1231"/>
      <c r="G1231"/>
      <c r="H1231"/>
      <c r="I1231"/>
      <c r="J1231"/>
      <c r="K1231"/>
      <c r="L1231"/>
      <c r="M1231"/>
      <c r="P1231"/>
      <c r="Q1231" s="2"/>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row>
    <row r="1232" spans="1:47" s="50" customFormat="1" x14ac:dyDescent="0.35">
      <c r="A1232"/>
      <c r="B1232"/>
      <c r="C1232"/>
      <c r="D1232"/>
      <c r="E1232"/>
      <c r="F1232"/>
      <c r="G1232"/>
      <c r="H1232"/>
      <c r="I1232"/>
      <c r="J1232"/>
      <c r="K1232"/>
      <c r="L1232"/>
      <c r="M1232"/>
      <c r="P1232"/>
      <c r="Q1232" s="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row>
    <row r="1233" spans="1:47" s="50" customFormat="1" x14ac:dyDescent="0.35">
      <c r="A1233"/>
      <c r="B1233"/>
      <c r="C1233"/>
      <c r="D1233"/>
      <c r="E1233"/>
      <c r="F1233"/>
      <c r="G1233"/>
      <c r="H1233"/>
      <c r="I1233"/>
      <c r="J1233"/>
      <c r="K1233"/>
      <c r="L1233"/>
      <c r="M1233"/>
      <c r="P1233"/>
      <c r="Q1233" s="2"/>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row>
    <row r="1234" spans="1:47" s="50" customFormat="1" x14ac:dyDescent="0.35">
      <c r="A1234"/>
      <c r="B1234"/>
      <c r="C1234"/>
      <c r="D1234"/>
      <c r="E1234"/>
      <c r="F1234"/>
      <c r="G1234"/>
      <c r="H1234"/>
      <c r="I1234"/>
      <c r="J1234"/>
      <c r="K1234"/>
      <c r="L1234"/>
      <c r="M1234"/>
      <c r="P1234"/>
      <c r="Q1234" s="2"/>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row>
    <row r="1235" spans="1:47" s="50" customFormat="1" x14ac:dyDescent="0.35">
      <c r="A1235"/>
      <c r="B1235"/>
      <c r="C1235"/>
      <c r="D1235"/>
      <c r="E1235"/>
      <c r="F1235"/>
      <c r="G1235"/>
      <c r="H1235"/>
      <c r="I1235"/>
      <c r="J1235"/>
      <c r="K1235"/>
      <c r="L1235"/>
      <c r="M1235"/>
      <c r="P1235"/>
      <c r="Q1235" s="2"/>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row>
    <row r="1236" spans="1:47" s="50" customFormat="1" x14ac:dyDescent="0.35">
      <c r="A1236"/>
      <c r="B1236"/>
      <c r="C1236"/>
      <c r="D1236"/>
      <c r="E1236"/>
      <c r="F1236"/>
      <c r="G1236"/>
      <c r="H1236"/>
      <c r="I1236"/>
      <c r="J1236"/>
      <c r="K1236"/>
      <c r="L1236"/>
      <c r="M1236"/>
      <c r="P1236"/>
      <c r="Q1236" s="2"/>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row>
    <row r="1237" spans="1:47" s="50" customFormat="1" x14ac:dyDescent="0.35">
      <c r="A1237"/>
      <c r="B1237"/>
      <c r="C1237"/>
      <c r="D1237"/>
      <c r="E1237"/>
      <c r="F1237"/>
      <c r="G1237"/>
      <c r="H1237"/>
      <c r="I1237"/>
      <c r="J1237"/>
      <c r="K1237"/>
      <c r="L1237"/>
      <c r="M1237"/>
      <c r="P1237"/>
      <c r="Q1237" s="2"/>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row>
    <row r="1238" spans="1:47" s="50" customFormat="1" x14ac:dyDescent="0.35">
      <c r="A1238"/>
      <c r="B1238"/>
      <c r="C1238"/>
      <c r="D1238"/>
      <c r="E1238"/>
      <c r="F1238"/>
      <c r="G1238"/>
      <c r="H1238"/>
      <c r="I1238"/>
      <c r="J1238"/>
      <c r="K1238"/>
      <c r="L1238"/>
      <c r="M1238"/>
      <c r="P1238"/>
      <c r="Q1238" s="2"/>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row>
    <row r="1239" spans="1:47" s="50" customFormat="1" x14ac:dyDescent="0.35">
      <c r="A1239"/>
      <c r="B1239"/>
      <c r="C1239"/>
      <c r="D1239"/>
      <c r="E1239"/>
      <c r="F1239"/>
      <c r="G1239"/>
      <c r="H1239"/>
      <c r="I1239"/>
      <c r="J1239"/>
      <c r="K1239"/>
      <c r="L1239"/>
      <c r="M1239"/>
      <c r="P1239"/>
      <c r="Q1239" s="2"/>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row>
    <row r="1240" spans="1:47" s="50" customFormat="1" x14ac:dyDescent="0.35">
      <c r="A1240"/>
      <c r="B1240"/>
      <c r="C1240"/>
      <c r="D1240"/>
      <c r="E1240"/>
      <c r="F1240"/>
      <c r="G1240"/>
      <c r="H1240"/>
      <c r="I1240"/>
      <c r="J1240"/>
      <c r="K1240"/>
      <c r="L1240"/>
      <c r="M1240"/>
      <c r="P1240"/>
      <c r="Q1240" s="2"/>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row>
    <row r="1241" spans="1:47" s="50" customFormat="1" x14ac:dyDescent="0.35">
      <c r="A1241"/>
      <c r="B1241"/>
      <c r="C1241"/>
      <c r="D1241"/>
      <c r="E1241"/>
      <c r="F1241"/>
      <c r="G1241"/>
      <c r="H1241"/>
      <c r="I1241"/>
      <c r="J1241"/>
      <c r="K1241"/>
      <c r="L1241"/>
      <c r="M1241"/>
      <c r="P1241"/>
      <c r="Q1241" s="2"/>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row>
    <row r="1242" spans="1:47" s="50" customFormat="1" x14ac:dyDescent="0.35">
      <c r="A1242"/>
      <c r="B1242"/>
      <c r="C1242"/>
      <c r="D1242"/>
      <c r="E1242"/>
      <c r="F1242"/>
      <c r="G1242"/>
      <c r="H1242"/>
      <c r="I1242"/>
      <c r="J1242"/>
      <c r="K1242"/>
      <c r="L1242"/>
      <c r="M1242"/>
      <c r="P1242"/>
      <c r="Q1242" s="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row>
    <row r="1243" spans="1:47" s="50" customFormat="1" x14ac:dyDescent="0.35">
      <c r="A1243"/>
      <c r="B1243"/>
      <c r="C1243"/>
      <c r="D1243"/>
      <c r="E1243"/>
      <c r="F1243"/>
      <c r="G1243"/>
      <c r="H1243"/>
      <c r="I1243"/>
      <c r="J1243"/>
      <c r="K1243"/>
      <c r="L1243"/>
      <c r="M1243"/>
      <c r="P1243"/>
      <c r="Q1243" s="2"/>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row>
    <row r="1244" spans="1:47" s="50" customFormat="1" x14ac:dyDescent="0.35">
      <c r="A1244"/>
      <c r="B1244"/>
      <c r="C1244"/>
      <c r="D1244"/>
      <c r="E1244"/>
      <c r="F1244"/>
      <c r="G1244"/>
      <c r="H1244"/>
      <c r="I1244"/>
      <c r="J1244"/>
      <c r="K1244"/>
      <c r="L1244"/>
      <c r="M1244"/>
      <c r="P1244"/>
      <c r="Q1244" s="2"/>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row>
    <row r="1245" spans="1:47" s="50" customFormat="1" x14ac:dyDescent="0.35">
      <c r="A1245"/>
      <c r="B1245"/>
      <c r="C1245"/>
      <c r="D1245"/>
      <c r="E1245"/>
      <c r="F1245"/>
      <c r="G1245"/>
      <c r="H1245"/>
      <c r="I1245"/>
      <c r="J1245"/>
      <c r="K1245"/>
      <c r="L1245"/>
      <c r="M1245"/>
      <c r="P1245"/>
      <c r="Q1245" s="2"/>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row>
    <row r="1246" spans="1:47" s="50" customFormat="1" x14ac:dyDescent="0.35">
      <c r="A1246"/>
      <c r="B1246"/>
      <c r="C1246"/>
      <c r="D1246"/>
      <c r="E1246"/>
      <c r="F1246"/>
      <c r="G1246"/>
      <c r="H1246"/>
      <c r="I1246"/>
      <c r="J1246"/>
      <c r="K1246"/>
      <c r="L1246"/>
      <c r="M1246"/>
      <c r="P1246"/>
      <c r="Q1246" s="2"/>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row>
    <row r="1247" spans="1:47" s="50" customFormat="1" x14ac:dyDescent="0.35">
      <c r="A1247"/>
      <c r="B1247"/>
      <c r="C1247"/>
      <c r="D1247"/>
      <c r="E1247"/>
      <c r="F1247"/>
      <c r="G1247"/>
      <c r="H1247"/>
      <c r="I1247"/>
      <c r="J1247"/>
      <c r="K1247"/>
      <c r="L1247"/>
      <c r="M1247"/>
      <c r="P1247"/>
      <c r="Q1247" s="2"/>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row>
    <row r="1248" spans="1:47" s="50" customFormat="1" x14ac:dyDescent="0.35">
      <c r="A1248"/>
      <c r="B1248"/>
      <c r="C1248"/>
      <c r="D1248"/>
      <c r="E1248"/>
      <c r="F1248"/>
      <c r="G1248"/>
      <c r="H1248"/>
      <c r="I1248"/>
      <c r="J1248"/>
      <c r="K1248"/>
      <c r="L1248"/>
      <c r="M1248"/>
      <c r="P1248"/>
      <c r="Q1248" s="2"/>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row>
    <row r="1249" spans="1:47" s="50" customFormat="1" x14ac:dyDescent="0.35">
      <c r="A1249"/>
      <c r="B1249"/>
      <c r="C1249"/>
      <c r="D1249"/>
      <c r="E1249"/>
      <c r="F1249"/>
      <c r="G1249"/>
      <c r="H1249"/>
      <c r="I1249"/>
      <c r="J1249"/>
      <c r="K1249"/>
      <c r="L1249"/>
      <c r="M1249"/>
      <c r="P1249"/>
      <c r="Q1249" s="2"/>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row>
    <row r="1250" spans="1:47" s="50" customFormat="1" x14ac:dyDescent="0.35">
      <c r="A1250"/>
      <c r="B1250"/>
      <c r="C1250"/>
      <c r="D1250"/>
      <c r="E1250"/>
      <c r="F1250"/>
      <c r="G1250"/>
      <c r="H1250"/>
      <c r="I1250"/>
      <c r="J1250"/>
      <c r="K1250"/>
      <c r="L1250"/>
      <c r="M1250"/>
      <c r="P1250"/>
      <c r="Q1250" s="2"/>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row>
    <row r="1251" spans="1:47" s="50" customFormat="1" x14ac:dyDescent="0.35">
      <c r="A1251"/>
      <c r="B1251"/>
      <c r="C1251"/>
      <c r="D1251"/>
      <c r="E1251"/>
      <c r="F1251"/>
      <c r="G1251"/>
      <c r="H1251"/>
      <c r="I1251"/>
      <c r="J1251"/>
      <c r="K1251"/>
      <c r="L1251"/>
      <c r="M1251"/>
      <c r="P1251"/>
      <c r="Q1251" s="2"/>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row>
    <row r="1252" spans="1:47" s="50" customFormat="1" x14ac:dyDescent="0.35">
      <c r="A1252"/>
      <c r="B1252"/>
      <c r="C1252"/>
      <c r="D1252"/>
      <c r="E1252"/>
      <c r="F1252"/>
      <c r="G1252"/>
      <c r="H1252"/>
      <c r="I1252"/>
      <c r="J1252"/>
      <c r="K1252"/>
      <c r="L1252"/>
      <c r="M1252"/>
      <c r="P1252"/>
      <c r="Q1252" s="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row>
    <row r="1253" spans="1:47" s="50" customFormat="1" x14ac:dyDescent="0.35">
      <c r="A1253"/>
      <c r="B1253"/>
      <c r="C1253"/>
      <c r="D1253"/>
      <c r="E1253"/>
      <c r="F1253"/>
      <c r="G1253"/>
      <c r="H1253"/>
      <c r="I1253"/>
      <c r="J1253"/>
      <c r="K1253"/>
      <c r="L1253"/>
      <c r="M1253"/>
      <c r="P1253"/>
      <c r="Q1253" s="2"/>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row>
    <row r="1254" spans="1:47" s="50" customFormat="1" x14ac:dyDescent="0.35">
      <c r="A1254"/>
      <c r="B1254"/>
      <c r="C1254"/>
      <c r="D1254"/>
      <c r="E1254"/>
      <c r="F1254"/>
      <c r="G1254"/>
      <c r="H1254"/>
      <c r="I1254"/>
      <c r="J1254"/>
      <c r="K1254"/>
      <c r="L1254"/>
      <c r="M1254"/>
      <c r="P1254"/>
      <c r="Q1254" s="2"/>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row>
    <row r="1255" spans="1:47" s="50" customFormat="1" x14ac:dyDescent="0.35">
      <c r="A1255"/>
      <c r="B1255"/>
      <c r="C1255"/>
      <c r="D1255"/>
      <c r="E1255"/>
      <c r="F1255"/>
      <c r="G1255"/>
      <c r="H1255"/>
      <c r="I1255"/>
      <c r="J1255"/>
      <c r="K1255"/>
      <c r="L1255"/>
      <c r="M1255"/>
      <c r="P1255"/>
      <c r="Q1255" s="2"/>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row>
    <row r="1256" spans="1:47" s="50" customFormat="1" x14ac:dyDescent="0.35">
      <c r="A1256"/>
      <c r="B1256"/>
      <c r="C1256"/>
      <c r="D1256"/>
      <c r="E1256"/>
      <c r="F1256"/>
      <c r="G1256"/>
      <c r="H1256"/>
      <c r="I1256"/>
      <c r="J1256"/>
      <c r="K1256"/>
      <c r="L1256"/>
      <c r="M1256"/>
      <c r="P1256"/>
      <c r="Q1256" s="2"/>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row>
    <row r="1257" spans="1:47" s="50" customFormat="1" x14ac:dyDescent="0.35">
      <c r="A1257"/>
      <c r="B1257"/>
      <c r="C1257"/>
      <c r="D1257"/>
      <c r="E1257"/>
      <c r="F1257"/>
      <c r="G1257"/>
      <c r="H1257"/>
      <c r="I1257"/>
      <c r="J1257"/>
      <c r="K1257"/>
      <c r="L1257"/>
      <c r="M1257"/>
      <c r="P1257"/>
      <c r="Q1257" s="2"/>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row>
    <row r="1258" spans="1:47" s="50" customFormat="1" x14ac:dyDescent="0.35">
      <c r="A1258"/>
      <c r="B1258"/>
      <c r="C1258"/>
      <c r="D1258"/>
      <c r="E1258"/>
      <c r="F1258"/>
      <c r="G1258"/>
      <c r="H1258"/>
      <c r="I1258"/>
      <c r="J1258"/>
      <c r="K1258"/>
      <c r="L1258"/>
      <c r="M1258"/>
      <c r="P1258"/>
      <c r="Q1258" s="2"/>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row>
    <row r="1259" spans="1:47" s="50" customFormat="1" x14ac:dyDescent="0.35">
      <c r="A1259"/>
      <c r="B1259"/>
      <c r="C1259"/>
      <c r="D1259"/>
      <c r="E1259"/>
      <c r="F1259"/>
      <c r="G1259"/>
      <c r="H1259"/>
      <c r="I1259"/>
      <c r="J1259"/>
      <c r="K1259"/>
      <c r="L1259"/>
      <c r="M1259"/>
      <c r="P1259"/>
      <c r="Q1259" s="2"/>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row>
    <row r="1260" spans="1:47" s="50" customFormat="1" x14ac:dyDescent="0.35">
      <c r="A1260"/>
      <c r="B1260"/>
      <c r="C1260"/>
      <c r="D1260"/>
      <c r="E1260"/>
      <c r="F1260"/>
      <c r="G1260"/>
      <c r="H1260"/>
      <c r="I1260"/>
      <c r="J1260"/>
      <c r="K1260"/>
      <c r="L1260"/>
      <c r="M1260"/>
      <c r="P1260"/>
      <c r="Q1260" s="2"/>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row>
    <row r="1261" spans="1:47" s="50" customFormat="1" x14ac:dyDescent="0.35">
      <c r="A1261"/>
      <c r="B1261"/>
      <c r="C1261"/>
      <c r="D1261"/>
      <c r="E1261"/>
      <c r="F1261"/>
      <c r="G1261"/>
      <c r="H1261"/>
      <c r="I1261"/>
      <c r="J1261"/>
      <c r="K1261"/>
      <c r="L1261"/>
      <c r="M1261"/>
      <c r="P1261"/>
      <c r="Q1261" s="2"/>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row>
    <row r="1262" spans="1:47" s="50" customFormat="1" x14ac:dyDescent="0.35">
      <c r="A1262"/>
      <c r="B1262"/>
      <c r="C1262"/>
      <c r="D1262"/>
      <c r="E1262"/>
      <c r="F1262"/>
      <c r="G1262"/>
      <c r="H1262"/>
      <c r="I1262"/>
      <c r="J1262"/>
      <c r="K1262"/>
      <c r="L1262"/>
      <c r="M1262"/>
      <c r="P1262"/>
      <c r="Q1262" s="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row>
    <row r="1263" spans="1:47" s="50" customFormat="1" x14ac:dyDescent="0.35">
      <c r="A1263"/>
      <c r="B1263"/>
      <c r="C1263"/>
      <c r="D1263"/>
      <c r="E1263"/>
      <c r="F1263"/>
      <c r="G1263"/>
      <c r="H1263"/>
      <c r="I1263"/>
      <c r="J1263"/>
      <c r="K1263"/>
      <c r="L1263"/>
      <c r="M1263"/>
      <c r="P1263"/>
      <c r="Q1263" s="2"/>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row>
    <row r="1264" spans="1:47" s="50" customFormat="1" x14ac:dyDescent="0.35">
      <c r="A1264"/>
      <c r="B1264"/>
      <c r="C1264"/>
      <c r="D1264"/>
      <c r="E1264"/>
      <c r="F1264"/>
      <c r="G1264"/>
      <c r="H1264"/>
      <c r="I1264"/>
      <c r="J1264"/>
      <c r="K1264"/>
      <c r="L1264"/>
      <c r="M1264"/>
      <c r="P1264"/>
      <c r="Q1264" s="2"/>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row>
    <row r="1265" spans="1:47" s="50" customFormat="1" x14ac:dyDescent="0.35">
      <c r="A1265"/>
      <c r="B1265"/>
      <c r="C1265"/>
      <c r="D1265"/>
      <c r="E1265"/>
      <c r="F1265"/>
      <c r="G1265"/>
      <c r="H1265"/>
      <c r="I1265"/>
      <c r="J1265"/>
      <c r="K1265"/>
      <c r="L1265"/>
      <c r="M1265"/>
      <c r="P1265"/>
      <c r="Q1265" s="2"/>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row>
    <row r="1266" spans="1:47" s="50" customFormat="1" x14ac:dyDescent="0.35">
      <c r="A1266"/>
      <c r="B1266"/>
      <c r="C1266"/>
      <c r="D1266"/>
      <c r="E1266"/>
      <c r="F1266"/>
      <c r="G1266"/>
      <c r="H1266"/>
      <c r="I1266"/>
      <c r="J1266"/>
      <c r="K1266"/>
      <c r="L1266"/>
      <c r="M1266"/>
      <c r="P1266"/>
      <c r="Q1266" s="2"/>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row>
    <row r="1267" spans="1:47" s="50" customFormat="1" x14ac:dyDescent="0.35">
      <c r="A1267"/>
      <c r="B1267"/>
      <c r="C1267"/>
      <c r="D1267"/>
      <c r="E1267"/>
      <c r="F1267"/>
      <c r="G1267"/>
      <c r="H1267"/>
      <c r="I1267"/>
      <c r="J1267"/>
      <c r="K1267"/>
      <c r="L1267"/>
      <c r="M1267"/>
      <c r="P1267"/>
      <c r="Q1267" s="2"/>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row>
    <row r="1268" spans="1:47" s="50" customFormat="1" x14ac:dyDescent="0.35">
      <c r="A1268"/>
      <c r="B1268"/>
      <c r="C1268"/>
      <c r="D1268"/>
      <c r="E1268"/>
      <c r="F1268"/>
      <c r="G1268"/>
      <c r="H1268"/>
      <c r="I1268"/>
      <c r="J1268"/>
      <c r="K1268"/>
      <c r="L1268"/>
      <c r="M1268"/>
      <c r="P1268"/>
      <c r="Q1268" s="2"/>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row>
    <row r="1269" spans="1:47" s="50" customFormat="1" x14ac:dyDescent="0.35">
      <c r="A1269"/>
      <c r="B1269"/>
      <c r="C1269"/>
      <c r="D1269"/>
      <c r="E1269"/>
      <c r="F1269"/>
      <c r="G1269"/>
      <c r="H1269"/>
      <c r="I1269"/>
      <c r="J1269"/>
      <c r="K1269"/>
      <c r="L1269"/>
      <c r="M1269"/>
      <c r="P1269"/>
      <c r="Q1269" s="2"/>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row>
    <row r="1270" spans="1:47" s="50" customFormat="1" x14ac:dyDescent="0.35">
      <c r="A1270"/>
      <c r="B1270"/>
      <c r="C1270"/>
      <c r="D1270"/>
      <c r="E1270"/>
      <c r="F1270"/>
      <c r="G1270"/>
      <c r="H1270"/>
      <c r="I1270"/>
      <c r="J1270"/>
      <c r="K1270"/>
      <c r="L1270"/>
      <c r="M1270"/>
      <c r="P1270"/>
      <c r="Q1270" s="2"/>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row>
    <row r="1271" spans="1:47" s="50" customFormat="1" x14ac:dyDescent="0.35">
      <c r="A1271"/>
      <c r="B1271"/>
      <c r="C1271"/>
      <c r="D1271"/>
      <c r="E1271"/>
      <c r="F1271"/>
      <c r="G1271"/>
      <c r="H1271"/>
      <c r="I1271"/>
      <c r="J1271"/>
      <c r="K1271"/>
      <c r="L1271"/>
      <c r="M1271"/>
      <c r="P1271"/>
      <c r="Q1271" s="2"/>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row>
    <row r="1272" spans="1:47" s="50" customFormat="1" x14ac:dyDescent="0.35">
      <c r="A1272"/>
      <c r="B1272"/>
      <c r="C1272"/>
      <c r="D1272"/>
      <c r="E1272"/>
      <c r="F1272"/>
      <c r="G1272"/>
      <c r="H1272"/>
      <c r="I1272"/>
      <c r="J1272"/>
      <c r="K1272"/>
      <c r="L1272"/>
      <c r="M1272"/>
      <c r="P1272"/>
      <c r="Q1272" s="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row>
    <row r="1273" spans="1:47" s="50" customFormat="1" x14ac:dyDescent="0.35">
      <c r="A1273"/>
      <c r="B1273"/>
      <c r="C1273"/>
      <c r="D1273"/>
      <c r="E1273"/>
      <c r="F1273"/>
      <c r="G1273"/>
      <c r="H1273"/>
      <c r="I1273"/>
      <c r="J1273"/>
      <c r="K1273"/>
      <c r="L1273"/>
      <c r="M1273"/>
      <c r="P1273"/>
      <c r="Q1273" s="2"/>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row>
    <row r="1274" spans="1:47" s="50" customFormat="1" x14ac:dyDescent="0.35">
      <c r="A1274"/>
      <c r="B1274"/>
      <c r="C1274"/>
      <c r="D1274"/>
      <c r="E1274"/>
      <c r="F1274"/>
      <c r="G1274"/>
      <c r="H1274"/>
      <c r="I1274"/>
      <c r="J1274"/>
      <c r="K1274"/>
      <c r="L1274"/>
      <c r="M1274"/>
      <c r="P1274"/>
      <c r="Q1274" s="2"/>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row>
    <row r="1275" spans="1:47" s="50" customFormat="1" x14ac:dyDescent="0.35">
      <c r="A1275"/>
      <c r="B1275"/>
      <c r="C1275"/>
      <c r="D1275"/>
      <c r="E1275"/>
      <c r="F1275"/>
      <c r="G1275"/>
      <c r="H1275"/>
      <c r="I1275"/>
      <c r="J1275"/>
      <c r="K1275"/>
      <c r="L1275"/>
      <c r="M1275"/>
      <c r="P1275"/>
      <c r="Q1275" s="2"/>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row>
    <row r="1276" spans="1:47" s="50" customFormat="1" x14ac:dyDescent="0.35">
      <c r="A1276"/>
      <c r="B1276"/>
      <c r="C1276"/>
      <c r="D1276"/>
      <c r="E1276"/>
      <c r="F1276"/>
      <c r="G1276"/>
      <c r="H1276"/>
      <c r="I1276"/>
      <c r="J1276"/>
      <c r="K1276"/>
      <c r="L1276"/>
      <c r="M1276"/>
      <c r="P1276"/>
      <c r="Q1276" s="2"/>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row>
    <row r="1277" spans="1:47" s="50" customFormat="1" x14ac:dyDescent="0.35">
      <c r="A1277"/>
      <c r="B1277"/>
      <c r="C1277"/>
      <c r="D1277"/>
      <c r="E1277"/>
      <c r="F1277"/>
      <c r="G1277"/>
      <c r="H1277"/>
      <c r="I1277"/>
      <c r="J1277"/>
      <c r="K1277"/>
      <c r="L1277"/>
      <c r="M1277"/>
      <c r="P1277"/>
      <c r="Q1277" s="2"/>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row>
    <row r="1278" spans="1:47" s="50" customFormat="1" x14ac:dyDescent="0.35">
      <c r="A1278"/>
      <c r="B1278"/>
      <c r="C1278"/>
      <c r="D1278"/>
      <c r="E1278"/>
      <c r="F1278"/>
      <c r="G1278"/>
      <c r="H1278"/>
      <c r="I1278"/>
      <c r="J1278"/>
      <c r="K1278"/>
      <c r="L1278"/>
      <c r="M1278"/>
      <c r="P1278"/>
      <c r="Q1278" s="2"/>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row>
    <row r="1279" spans="1:47" s="50" customFormat="1" x14ac:dyDescent="0.35">
      <c r="A1279"/>
      <c r="B1279"/>
      <c r="C1279"/>
      <c r="D1279"/>
      <c r="E1279"/>
      <c r="F1279"/>
      <c r="G1279"/>
      <c r="H1279"/>
      <c r="I1279"/>
      <c r="J1279"/>
      <c r="K1279"/>
      <c r="L1279"/>
      <c r="M1279"/>
      <c r="P1279"/>
      <c r="Q1279" s="2"/>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row>
    <row r="1280" spans="1:47" s="50" customFormat="1" x14ac:dyDescent="0.35">
      <c r="A1280"/>
      <c r="B1280"/>
      <c r="C1280"/>
      <c r="D1280"/>
      <c r="E1280"/>
      <c r="F1280"/>
      <c r="G1280"/>
      <c r="H1280"/>
      <c r="I1280"/>
      <c r="J1280"/>
      <c r="K1280"/>
      <c r="L1280"/>
      <c r="M1280"/>
      <c r="P1280"/>
      <c r="Q1280" s="2"/>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row>
    <row r="1281" spans="1:47" s="50" customFormat="1" x14ac:dyDescent="0.35">
      <c r="A1281"/>
      <c r="B1281"/>
      <c r="C1281"/>
      <c r="D1281"/>
      <c r="E1281"/>
      <c r="F1281"/>
      <c r="G1281"/>
      <c r="H1281"/>
      <c r="I1281"/>
      <c r="J1281"/>
      <c r="K1281"/>
      <c r="L1281"/>
      <c r="M1281"/>
      <c r="P1281"/>
      <c r="Q1281" s="2"/>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row>
    <row r="1282" spans="1:47" s="50" customFormat="1" x14ac:dyDescent="0.35">
      <c r="A1282"/>
      <c r="B1282"/>
      <c r="C1282"/>
      <c r="D1282"/>
      <c r="E1282"/>
      <c r="F1282"/>
      <c r="G1282"/>
      <c r="H1282"/>
      <c r="I1282"/>
      <c r="J1282"/>
      <c r="K1282"/>
      <c r="L1282"/>
      <c r="M1282"/>
      <c r="P1282"/>
      <c r="Q1282" s="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row>
    <row r="1283" spans="1:47" s="50" customFormat="1" x14ac:dyDescent="0.35">
      <c r="A1283"/>
      <c r="B1283"/>
      <c r="C1283"/>
      <c r="D1283"/>
      <c r="E1283"/>
      <c r="F1283"/>
      <c r="G1283"/>
      <c r="H1283"/>
      <c r="I1283"/>
      <c r="J1283"/>
      <c r="K1283"/>
      <c r="L1283"/>
      <c r="M1283"/>
      <c r="P1283"/>
      <c r="Q1283" s="2"/>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row>
    <row r="1284" spans="1:47" s="50" customFormat="1" x14ac:dyDescent="0.35">
      <c r="A1284"/>
      <c r="B1284"/>
      <c r="C1284"/>
      <c r="D1284"/>
      <c r="E1284"/>
      <c r="F1284"/>
      <c r="G1284"/>
      <c r="H1284"/>
      <c r="I1284"/>
      <c r="J1284"/>
      <c r="K1284"/>
      <c r="L1284"/>
      <c r="M1284"/>
      <c r="P1284"/>
      <c r="Q1284" s="2"/>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row>
    <row r="1285" spans="1:47" s="50" customFormat="1" x14ac:dyDescent="0.35">
      <c r="A1285"/>
      <c r="B1285"/>
      <c r="C1285"/>
      <c r="D1285"/>
      <c r="E1285"/>
      <c r="F1285"/>
      <c r="G1285"/>
      <c r="H1285"/>
      <c r="I1285"/>
      <c r="J1285"/>
      <c r="K1285"/>
      <c r="L1285"/>
      <c r="M1285"/>
      <c r="P1285"/>
      <c r="Q1285" s="2"/>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row>
    <row r="1286" spans="1:47" s="50" customFormat="1" x14ac:dyDescent="0.35">
      <c r="A1286"/>
      <c r="B1286"/>
      <c r="C1286"/>
      <c r="D1286"/>
      <c r="E1286"/>
      <c r="F1286"/>
      <c r="G1286"/>
      <c r="H1286"/>
      <c r="I1286"/>
      <c r="J1286"/>
      <c r="K1286"/>
      <c r="L1286"/>
      <c r="M1286"/>
      <c r="P1286"/>
      <c r="Q1286" s="2"/>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row>
    <row r="1287" spans="1:47" s="50" customFormat="1" x14ac:dyDescent="0.35">
      <c r="A1287"/>
      <c r="B1287"/>
      <c r="C1287"/>
      <c r="D1287"/>
      <c r="E1287"/>
      <c r="F1287"/>
      <c r="G1287"/>
      <c r="H1287"/>
      <c r="I1287"/>
      <c r="J1287"/>
      <c r="K1287"/>
      <c r="L1287"/>
      <c r="M1287"/>
      <c r="P1287"/>
      <c r="Q1287" s="2"/>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row>
    <row r="1288" spans="1:47" s="50" customFormat="1" x14ac:dyDescent="0.35">
      <c r="A1288"/>
      <c r="B1288"/>
      <c r="C1288"/>
      <c r="D1288"/>
      <c r="E1288"/>
      <c r="F1288"/>
      <c r="G1288"/>
      <c r="H1288"/>
      <c r="I1288"/>
      <c r="J1288"/>
      <c r="K1288"/>
      <c r="L1288"/>
      <c r="M1288"/>
      <c r="P1288"/>
      <c r="Q1288" s="2"/>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row>
    <row r="1289" spans="1:47" s="50" customFormat="1" x14ac:dyDescent="0.35">
      <c r="A1289"/>
      <c r="B1289"/>
      <c r="C1289"/>
      <c r="D1289"/>
      <c r="E1289"/>
      <c r="F1289"/>
      <c r="G1289"/>
      <c r="H1289"/>
      <c r="I1289"/>
      <c r="J1289"/>
      <c r="K1289"/>
      <c r="L1289"/>
      <c r="M1289"/>
      <c r="P1289"/>
      <c r="Q1289" s="2"/>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row>
    <row r="1290" spans="1:47" s="50" customFormat="1" x14ac:dyDescent="0.35">
      <c r="A1290"/>
      <c r="B1290"/>
      <c r="C1290"/>
      <c r="D1290"/>
      <c r="E1290"/>
      <c r="F1290"/>
      <c r="G1290"/>
      <c r="H1290"/>
      <c r="I1290"/>
      <c r="J1290"/>
      <c r="K1290"/>
      <c r="L1290"/>
      <c r="M1290"/>
      <c r="P1290"/>
      <c r="Q1290" s="2"/>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row>
    <row r="1291" spans="1:47" s="50" customFormat="1" x14ac:dyDescent="0.35">
      <c r="A1291"/>
      <c r="B1291"/>
      <c r="C1291"/>
      <c r="D1291"/>
      <c r="E1291"/>
      <c r="F1291"/>
      <c r="G1291"/>
      <c r="H1291"/>
      <c r="I1291"/>
      <c r="J1291"/>
      <c r="K1291"/>
      <c r="L1291"/>
      <c r="M1291"/>
      <c r="P1291"/>
      <c r="Q1291" s="2"/>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row>
    <row r="1292" spans="1:47" s="50" customFormat="1" x14ac:dyDescent="0.35">
      <c r="A1292"/>
      <c r="B1292"/>
      <c r="C1292"/>
      <c r="D1292"/>
      <c r="E1292"/>
      <c r="F1292"/>
      <c r="G1292"/>
      <c r="H1292"/>
      <c r="I1292"/>
      <c r="J1292"/>
      <c r="K1292"/>
      <c r="L1292"/>
      <c r="M1292"/>
      <c r="P1292"/>
      <c r="Q1292" s="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row>
    <row r="1293" spans="1:47" s="50" customFormat="1" x14ac:dyDescent="0.35">
      <c r="A1293"/>
      <c r="B1293"/>
      <c r="C1293"/>
      <c r="D1293"/>
      <c r="E1293"/>
      <c r="F1293"/>
      <c r="G1293"/>
      <c r="H1293"/>
      <c r="I1293"/>
      <c r="J1293"/>
      <c r="K1293"/>
      <c r="L1293"/>
      <c r="M1293"/>
      <c r="P1293"/>
      <c r="Q1293" s="2"/>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row>
    <row r="1294" spans="1:47" s="50" customFormat="1" x14ac:dyDescent="0.35">
      <c r="A1294"/>
      <c r="B1294"/>
      <c r="C1294"/>
      <c r="D1294"/>
      <c r="E1294"/>
      <c r="F1294"/>
      <c r="G1294"/>
      <c r="H1294"/>
      <c r="I1294"/>
      <c r="J1294"/>
      <c r="K1294"/>
      <c r="L1294"/>
      <c r="M1294"/>
      <c r="P1294"/>
      <c r="Q1294" s="2"/>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row>
    <row r="1295" spans="1:47" s="50" customFormat="1" x14ac:dyDescent="0.35">
      <c r="A1295"/>
      <c r="B1295"/>
      <c r="C1295"/>
      <c r="D1295"/>
      <c r="E1295"/>
      <c r="F1295"/>
      <c r="G1295"/>
      <c r="H1295"/>
      <c r="I1295"/>
      <c r="J1295"/>
      <c r="K1295"/>
      <c r="L1295"/>
      <c r="M1295"/>
      <c r="P1295"/>
      <c r="Q1295" s="2"/>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row>
    <row r="1296" spans="1:47" s="50" customFormat="1" x14ac:dyDescent="0.35">
      <c r="A1296"/>
      <c r="B1296"/>
      <c r="C1296"/>
      <c r="D1296"/>
      <c r="E1296"/>
      <c r="F1296"/>
      <c r="G1296"/>
      <c r="H1296"/>
      <c r="I1296"/>
      <c r="J1296"/>
      <c r="K1296"/>
      <c r="L1296"/>
      <c r="M1296"/>
      <c r="P1296"/>
      <c r="Q1296" s="2"/>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row>
    <row r="1297" spans="1:47" s="50" customFormat="1" x14ac:dyDescent="0.35">
      <c r="A1297"/>
      <c r="B1297"/>
      <c r="C1297"/>
      <c r="D1297"/>
      <c r="E1297"/>
      <c r="F1297"/>
      <c r="G1297"/>
      <c r="H1297"/>
      <c r="I1297"/>
      <c r="J1297"/>
      <c r="K1297"/>
      <c r="L1297"/>
      <c r="M1297"/>
      <c r="P1297"/>
      <c r="Q1297" s="2"/>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row>
    <row r="1298" spans="1:47" s="50" customFormat="1" x14ac:dyDescent="0.35">
      <c r="A1298"/>
      <c r="B1298"/>
      <c r="C1298"/>
      <c r="D1298"/>
      <c r="E1298"/>
      <c r="F1298"/>
      <c r="G1298"/>
      <c r="H1298"/>
      <c r="I1298"/>
      <c r="J1298"/>
      <c r="K1298"/>
      <c r="L1298"/>
      <c r="M1298"/>
      <c r="P1298"/>
      <c r="Q1298" s="2"/>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row>
    <row r="1299" spans="1:47" s="50" customFormat="1" x14ac:dyDescent="0.35">
      <c r="A1299"/>
      <c r="B1299"/>
      <c r="C1299"/>
      <c r="D1299"/>
      <c r="E1299"/>
      <c r="F1299"/>
      <c r="G1299"/>
      <c r="H1299"/>
      <c r="I1299"/>
      <c r="J1299"/>
      <c r="K1299"/>
      <c r="L1299"/>
      <c r="M1299"/>
      <c r="P1299"/>
      <c r="Q1299" s="2"/>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row>
    <row r="1300" spans="1:47" s="50" customFormat="1" x14ac:dyDescent="0.35">
      <c r="A1300"/>
      <c r="B1300"/>
      <c r="C1300"/>
      <c r="D1300"/>
      <c r="E1300"/>
      <c r="F1300"/>
      <c r="G1300"/>
      <c r="H1300"/>
      <c r="I1300"/>
      <c r="J1300"/>
      <c r="K1300"/>
      <c r="L1300"/>
      <c r="M1300"/>
      <c r="P1300"/>
      <c r="Q1300" s="2"/>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row>
    <row r="1301" spans="1:47" s="50" customFormat="1" x14ac:dyDescent="0.35">
      <c r="A1301"/>
      <c r="B1301"/>
      <c r="C1301"/>
      <c r="D1301"/>
      <c r="E1301"/>
      <c r="F1301"/>
      <c r="G1301"/>
      <c r="H1301"/>
      <c r="I1301"/>
      <c r="J1301"/>
      <c r="K1301"/>
      <c r="L1301"/>
      <c r="M1301"/>
      <c r="P1301"/>
      <c r="Q1301" s="2"/>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row>
    <row r="1302" spans="1:47" s="50" customFormat="1" x14ac:dyDescent="0.35">
      <c r="A1302"/>
      <c r="B1302"/>
      <c r="C1302"/>
      <c r="D1302"/>
      <c r="E1302"/>
      <c r="F1302"/>
      <c r="G1302"/>
      <c r="H1302"/>
      <c r="I1302"/>
      <c r="J1302"/>
      <c r="K1302"/>
      <c r="L1302"/>
      <c r="M1302"/>
      <c r="P1302"/>
      <c r="Q1302" s="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row>
    <row r="1303" spans="1:47" s="50" customFormat="1" x14ac:dyDescent="0.35">
      <c r="A1303"/>
      <c r="B1303"/>
      <c r="C1303"/>
      <c r="D1303"/>
      <c r="E1303"/>
      <c r="F1303"/>
      <c r="G1303"/>
      <c r="H1303"/>
      <c r="I1303"/>
      <c r="J1303"/>
      <c r="K1303"/>
      <c r="L1303"/>
      <c r="M1303"/>
      <c r="P1303"/>
      <c r="Q1303" s="2"/>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row>
    <row r="1304" spans="1:47" s="50" customFormat="1" x14ac:dyDescent="0.35">
      <c r="A1304"/>
      <c r="B1304"/>
      <c r="C1304"/>
      <c r="D1304"/>
      <c r="E1304"/>
      <c r="F1304"/>
      <c r="G1304"/>
      <c r="H1304"/>
      <c r="I1304"/>
      <c r="J1304"/>
      <c r="K1304"/>
      <c r="L1304"/>
      <c r="M1304"/>
      <c r="P1304"/>
      <c r="Q1304" s="2"/>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row>
    <row r="1305" spans="1:47" s="50" customFormat="1" x14ac:dyDescent="0.35">
      <c r="A1305"/>
      <c r="B1305"/>
      <c r="C1305"/>
      <c r="D1305"/>
      <c r="E1305"/>
      <c r="F1305"/>
      <c r="G1305"/>
      <c r="H1305"/>
      <c r="I1305"/>
      <c r="J1305"/>
      <c r="K1305"/>
      <c r="L1305"/>
      <c r="M1305"/>
      <c r="P1305"/>
      <c r="Q1305" s="2"/>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row>
    <row r="1306" spans="1:47" s="50" customFormat="1" x14ac:dyDescent="0.35">
      <c r="A1306"/>
      <c r="B1306"/>
      <c r="C1306"/>
      <c r="D1306"/>
      <c r="E1306"/>
      <c r="F1306"/>
      <c r="G1306"/>
      <c r="H1306"/>
      <c r="I1306"/>
      <c r="J1306"/>
      <c r="K1306"/>
      <c r="L1306"/>
      <c r="M1306"/>
      <c r="P1306"/>
      <c r="Q1306" s="2"/>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row>
    <row r="1307" spans="1:47" s="50" customFormat="1" x14ac:dyDescent="0.35">
      <c r="A1307"/>
      <c r="B1307"/>
      <c r="C1307"/>
      <c r="D1307"/>
      <c r="E1307"/>
      <c r="F1307"/>
      <c r="G1307"/>
      <c r="H1307"/>
      <c r="I1307"/>
      <c r="J1307"/>
      <c r="K1307"/>
      <c r="L1307"/>
      <c r="M1307"/>
      <c r="P1307"/>
      <c r="Q1307" s="2"/>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row>
    <row r="1308" spans="1:47" s="50" customFormat="1" x14ac:dyDescent="0.35">
      <c r="A1308"/>
      <c r="B1308"/>
      <c r="C1308"/>
      <c r="D1308"/>
      <c r="E1308"/>
      <c r="F1308"/>
      <c r="G1308"/>
      <c r="H1308"/>
      <c r="I1308"/>
      <c r="J1308"/>
      <c r="K1308"/>
      <c r="L1308"/>
      <c r="M1308"/>
      <c r="P1308"/>
      <c r="Q1308" s="2"/>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row>
    <row r="1309" spans="1:47" s="50" customFormat="1" x14ac:dyDescent="0.35">
      <c r="A1309"/>
      <c r="B1309"/>
      <c r="C1309"/>
      <c r="D1309"/>
      <c r="E1309"/>
      <c r="F1309"/>
      <c r="G1309"/>
      <c r="H1309"/>
      <c r="I1309"/>
      <c r="J1309"/>
      <c r="K1309"/>
      <c r="L1309"/>
      <c r="M1309"/>
      <c r="P1309"/>
      <c r="Q1309" s="2"/>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row>
    <row r="1310" spans="1:47" s="50" customFormat="1" x14ac:dyDescent="0.35">
      <c r="A1310"/>
      <c r="B1310"/>
      <c r="C1310"/>
      <c r="D1310"/>
      <c r="E1310"/>
      <c r="F1310"/>
      <c r="G1310"/>
      <c r="H1310"/>
      <c r="I1310"/>
      <c r="J1310"/>
      <c r="K1310"/>
      <c r="L1310"/>
      <c r="M1310"/>
      <c r="P1310"/>
      <c r="Q1310" s="2"/>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row>
    <row r="1311" spans="1:47" s="50" customFormat="1" x14ac:dyDescent="0.35">
      <c r="A1311"/>
      <c r="B1311"/>
      <c r="C1311"/>
      <c r="D1311"/>
      <c r="E1311"/>
      <c r="F1311"/>
      <c r="G1311"/>
      <c r="H1311"/>
      <c r="I1311"/>
      <c r="J1311"/>
      <c r="K1311"/>
      <c r="L1311"/>
      <c r="M1311"/>
      <c r="P1311"/>
      <c r="Q1311" s="2"/>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row>
    <row r="1312" spans="1:47" s="50" customFormat="1" x14ac:dyDescent="0.35">
      <c r="A1312"/>
      <c r="B1312"/>
      <c r="C1312"/>
      <c r="D1312"/>
      <c r="E1312"/>
      <c r="F1312"/>
      <c r="G1312"/>
      <c r="H1312"/>
      <c r="I1312"/>
      <c r="J1312"/>
      <c r="K1312"/>
      <c r="L1312"/>
      <c r="M1312"/>
      <c r="P1312"/>
      <c r="Q1312" s="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row>
    <row r="1313" spans="1:47" s="50" customFormat="1" x14ac:dyDescent="0.35">
      <c r="A1313"/>
      <c r="B1313"/>
      <c r="C1313"/>
      <c r="D1313"/>
      <c r="E1313"/>
      <c r="F1313"/>
      <c r="G1313"/>
      <c r="H1313"/>
      <c r="I1313"/>
      <c r="J1313"/>
      <c r="K1313"/>
      <c r="L1313"/>
      <c r="M1313"/>
      <c r="P1313"/>
      <c r="Q1313" s="2"/>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row>
    <row r="1314" spans="1:47" s="50" customFormat="1" x14ac:dyDescent="0.35">
      <c r="A1314"/>
      <c r="B1314"/>
      <c r="C1314"/>
      <c r="D1314"/>
      <c r="E1314"/>
      <c r="F1314"/>
      <c r="G1314"/>
      <c r="H1314"/>
      <c r="I1314"/>
      <c r="J1314"/>
      <c r="K1314"/>
      <c r="L1314"/>
      <c r="M1314"/>
      <c r="P1314"/>
      <c r="Q1314" s="2"/>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row>
    <row r="1315" spans="1:47" s="50" customFormat="1" x14ac:dyDescent="0.35">
      <c r="A1315"/>
      <c r="B1315"/>
      <c r="C1315"/>
      <c r="D1315"/>
      <c r="E1315"/>
      <c r="F1315"/>
      <c r="G1315"/>
      <c r="H1315"/>
      <c r="I1315"/>
      <c r="J1315"/>
      <c r="K1315"/>
      <c r="L1315"/>
      <c r="M1315"/>
      <c r="P1315"/>
      <c r="Q1315" s="2"/>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row>
    <row r="1316" spans="1:47" s="50" customFormat="1" x14ac:dyDescent="0.35">
      <c r="A1316"/>
      <c r="B1316"/>
      <c r="C1316"/>
      <c r="D1316"/>
      <c r="E1316"/>
      <c r="F1316"/>
      <c r="G1316"/>
      <c r="H1316"/>
      <c r="I1316"/>
      <c r="J1316"/>
      <c r="K1316"/>
      <c r="L1316"/>
      <c r="M1316"/>
      <c r="P1316"/>
      <c r="Q1316" s="2"/>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row>
    <row r="1317" spans="1:47" s="50" customFormat="1" x14ac:dyDescent="0.35">
      <c r="A1317"/>
      <c r="B1317"/>
      <c r="C1317"/>
      <c r="D1317"/>
      <c r="E1317"/>
      <c r="F1317"/>
      <c r="G1317"/>
      <c r="H1317"/>
      <c r="I1317"/>
      <c r="J1317"/>
      <c r="K1317"/>
      <c r="L1317"/>
      <c r="M1317"/>
      <c r="P1317"/>
      <c r="Q1317" s="2"/>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row>
    <row r="1318" spans="1:47" s="50" customFormat="1" x14ac:dyDescent="0.35">
      <c r="A1318"/>
      <c r="B1318"/>
      <c r="C1318"/>
      <c r="D1318"/>
      <c r="E1318"/>
      <c r="F1318"/>
      <c r="G1318"/>
      <c r="H1318"/>
      <c r="I1318"/>
      <c r="J1318"/>
      <c r="K1318"/>
      <c r="L1318"/>
      <c r="M1318"/>
      <c r="P1318"/>
      <c r="Q1318" s="2"/>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row>
    <row r="1319" spans="1:47" s="50" customFormat="1" x14ac:dyDescent="0.35">
      <c r="A1319"/>
      <c r="B1319"/>
      <c r="C1319"/>
      <c r="D1319"/>
      <c r="E1319"/>
      <c r="F1319"/>
      <c r="G1319"/>
      <c r="H1319"/>
      <c r="I1319"/>
      <c r="J1319"/>
      <c r="K1319"/>
      <c r="L1319"/>
      <c r="M1319"/>
      <c r="P1319"/>
      <c r="Q1319" s="2"/>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row>
    <row r="1320" spans="1:47" s="50" customFormat="1" x14ac:dyDescent="0.35">
      <c r="A1320"/>
      <c r="B1320"/>
      <c r="C1320"/>
      <c r="D1320"/>
      <c r="E1320"/>
      <c r="F1320"/>
      <c r="G1320"/>
      <c r="H1320"/>
      <c r="I1320"/>
      <c r="J1320"/>
      <c r="K1320"/>
      <c r="L1320"/>
      <c r="M1320"/>
      <c r="P1320"/>
      <c r="Q1320" s="2"/>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row>
    <row r="1321" spans="1:47" s="50" customFormat="1" x14ac:dyDescent="0.35">
      <c r="A1321"/>
      <c r="B1321"/>
      <c r="C1321"/>
      <c r="D1321"/>
      <c r="E1321"/>
      <c r="F1321"/>
      <c r="G1321"/>
      <c r="H1321"/>
      <c r="I1321"/>
      <c r="J1321"/>
      <c r="K1321"/>
      <c r="L1321"/>
      <c r="M1321"/>
      <c r="P1321"/>
      <c r="Q1321" s="2"/>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row>
    <row r="1322" spans="1:47" s="50" customFormat="1" x14ac:dyDescent="0.35">
      <c r="A1322"/>
      <c r="B1322"/>
      <c r="C1322"/>
      <c r="D1322"/>
      <c r="E1322"/>
      <c r="F1322"/>
      <c r="G1322"/>
      <c r="H1322"/>
      <c r="I1322"/>
      <c r="J1322"/>
      <c r="K1322"/>
      <c r="L1322"/>
      <c r="M1322"/>
      <c r="P1322"/>
      <c r="Q1322" s="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row>
    <row r="1323" spans="1:47" s="50" customFormat="1" x14ac:dyDescent="0.35">
      <c r="A1323"/>
      <c r="B1323"/>
      <c r="C1323"/>
      <c r="D1323"/>
      <c r="E1323"/>
      <c r="F1323"/>
      <c r="G1323"/>
      <c r="H1323"/>
      <c r="I1323"/>
      <c r="J1323"/>
      <c r="K1323"/>
      <c r="L1323"/>
      <c r="M1323"/>
      <c r="P1323"/>
      <c r="Q1323" s="2"/>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row>
    <row r="1324" spans="1:47" s="50" customFormat="1" x14ac:dyDescent="0.35">
      <c r="A1324"/>
      <c r="B1324"/>
      <c r="C1324"/>
      <c r="D1324"/>
      <c r="E1324"/>
      <c r="F1324"/>
      <c r="G1324"/>
      <c r="H1324"/>
      <c r="I1324"/>
      <c r="J1324"/>
      <c r="K1324"/>
      <c r="L1324"/>
      <c r="M1324"/>
      <c r="P1324"/>
      <c r="Q1324" s="2"/>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row>
    <row r="1325" spans="1:47" s="50" customFormat="1" x14ac:dyDescent="0.35">
      <c r="A1325"/>
      <c r="B1325"/>
      <c r="C1325"/>
      <c r="D1325"/>
      <c r="E1325"/>
      <c r="F1325"/>
      <c r="G1325"/>
      <c r="H1325"/>
      <c r="I1325"/>
      <c r="J1325"/>
      <c r="K1325"/>
      <c r="L1325"/>
      <c r="M1325"/>
      <c r="P1325"/>
      <c r="Q1325" s="2"/>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row>
    <row r="1326" spans="1:47" s="50" customFormat="1" x14ac:dyDescent="0.35">
      <c r="A1326"/>
      <c r="B1326"/>
      <c r="C1326"/>
      <c r="D1326"/>
      <c r="E1326"/>
      <c r="F1326"/>
      <c r="G1326"/>
      <c r="H1326"/>
      <c r="I1326"/>
      <c r="J1326"/>
      <c r="K1326"/>
      <c r="L1326"/>
      <c r="M1326"/>
      <c r="P1326"/>
      <c r="Q1326" s="2"/>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row>
    <row r="1327" spans="1:47" s="50" customFormat="1" x14ac:dyDescent="0.35">
      <c r="A1327"/>
      <c r="B1327"/>
      <c r="C1327"/>
      <c r="D1327"/>
      <c r="E1327"/>
      <c r="F1327"/>
      <c r="G1327"/>
      <c r="H1327"/>
      <c r="I1327"/>
      <c r="J1327"/>
      <c r="K1327"/>
      <c r="L1327"/>
      <c r="M1327"/>
      <c r="P1327"/>
      <c r="Q1327" s="2"/>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row>
    <row r="1328" spans="1:47" s="50" customFormat="1" x14ac:dyDescent="0.35">
      <c r="A1328"/>
      <c r="B1328"/>
      <c r="C1328"/>
      <c r="D1328"/>
      <c r="E1328"/>
      <c r="F1328"/>
      <c r="G1328"/>
      <c r="H1328"/>
      <c r="I1328"/>
      <c r="J1328"/>
      <c r="K1328"/>
      <c r="L1328"/>
      <c r="M1328"/>
      <c r="P1328"/>
      <c r="Q1328" s="2"/>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row>
    <row r="1329" spans="1:47" s="50" customFormat="1" x14ac:dyDescent="0.35">
      <c r="A1329"/>
      <c r="B1329"/>
      <c r="C1329"/>
      <c r="D1329"/>
      <c r="E1329"/>
      <c r="F1329"/>
      <c r="G1329"/>
      <c r="H1329"/>
      <c r="I1329"/>
      <c r="J1329"/>
      <c r="K1329"/>
      <c r="L1329"/>
      <c r="M1329"/>
      <c r="P1329"/>
      <c r="Q1329" s="2"/>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row>
    <row r="1330" spans="1:47" s="50" customFormat="1" x14ac:dyDescent="0.35">
      <c r="A1330"/>
      <c r="B1330"/>
      <c r="C1330"/>
      <c r="D1330"/>
      <c r="E1330"/>
      <c r="F1330"/>
      <c r="G1330"/>
      <c r="H1330"/>
      <c r="I1330"/>
      <c r="J1330"/>
      <c r="K1330"/>
      <c r="L1330"/>
      <c r="M1330"/>
      <c r="P1330"/>
      <c r="Q1330" s="2"/>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row>
    <row r="1331" spans="1:47" s="50" customFormat="1" x14ac:dyDescent="0.35">
      <c r="A1331"/>
      <c r="B1331"/>
      <c r="C1331"/>
      <c r="D1331"/>
      <c r="E1331"/>
      <c r="F1331"/>
      <c r="G1331"/>
      <c r="H1331"/>
      <c r="I1331"/>
      <c r="J1331"/>
      <c r="K1331"/>
      <c r="L1331"/>
      <c r="M1331"/>
      <c r="P1331"/>
      <c r="Q1331" s="2"/>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row>
    <row r="1332" spans="1:47" s="50" customFormat="1" x14ac:dyDescent="0.35">
      <c r="A1332"/>
      <c r="B1332"/>
      <c r="C1332"/>
      <c r="D1332"/>
      <c r="E1332"/>
      <c r="F1332"/>
      <c r="G1332"/>
      <c r="H1332"/>
      <c r="I1332"/>
      <c r="J1332"/>
      <c r="K1332"/>
      <c r="L1332"/>
      <c r="M1332"/>
      <c r="P1332"/>
      <c r="Q1332" s="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row>
    <row r="1333" spans="1:47" s="50" customFormat="1" x14ac:dyDescent="0.35">
      <c r="A1333"/>
      <c r="B1333"/>
      <c r="C1333"/>
      <c r="D1333"/>
      <c r="E1333"/>
      <c r="F1333"/>
      <c r="G1333"/>
      <c r="H1333"/>
      <c r="I1333"/>
      <c r="J1333"/>
      <c r="K1333"/>
      <c r="L1333"/>
      <c r="M1333"/>
      <c r="P1333"/>
      <c r="Q1333" s="2"/>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row>
    <row r="1334" spans="1:47" s="50" customFormat="1" x14ac:dyDescent="0.35">
      <c r="A1334"/>
      <c r="B1334"/>
      <c r="C1334"/>
      <c r="D1334"/>
      <c r="E1334"/>
      <c r="F1334"/>
      <c r="G1334"/>
      <c r="H1334"/>
      <c r="I1334"/>
      <c r="J1334"/>
      <c r="K1334"/>
      <c r="L1334"/>
      <c r="M1334"/>
      <c r="P1334"/>
      <c r="Q1334" s="2"/>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row>
    <row r="1335" spans="1:47" s="50" customFormat="1" x14ac:dyDescent="0.35">
      <c r="A1335"/>
      <c r="B1335"/>
      <c r="C1335"/>
      <c r="D1335"/>
      <c r="E1335"/>
      <c r="F1335"/>
      <c r="G1335"/>
      <c r="H1335"/>
      <c r="I1335"/>
      <c r="J1335"/>
      <c r="K1335"/>
      <c r="L1335"/>
      <c r="M1335"/>
      <c r="P1335"/>
      <c r="Q1335" s="2"/>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row>
    <row r="1336" spans="1:47" s="50" customFormat="1" x14ac:dyDescent="0.35">
      <c r="A1336"/>
      <c r="B1336"/>
      <c r="C1336"/>
      <c r="D1336"/>
      <c r="E1336"/>
      <c r="F1336"/>
      <c r="G1336"/>
      <c r="H1336"/>
      <c r="I1336"/>
      <c r="J1336"/>
      <c r="K1336"/>
      <c r="L1336"/>
      <c r="M1336"/>
      <c r="P1336"/>
      <c r="Q1336" s="2"/>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row>
    <row r="1337" spans="1:47" s="50" customFormat="1" x14ac:dyDescent="0.35">
      <c r="A1337"/>
      <c r="B1337"/>
      <c r="C1337"/>
      <c r="D1337"/>
      <c r="E1337"/>
      <c r="F1337"/>
      <c r="G1337"/>
      <c r="H1337"/>
      <c r="I1337"/>
      <c r="J1337"/>
      <c r="K1337"/>
      <c r="L1337"/>
      <c r="M1337"/>
      <c r="P1337"/>
      <c r="Q1337" s="2"/>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row>
    <row r="1338" spans="1:47" s="50" customFormat="1" x14ac:dyDescent="0.35">
      <c r="A1338"/>
      <c r="B1338"/>
      <c r="C1338"/>
      <c r="D1338"/>
      <c r="E1338"/>
      <c r="F1338"/>
      <c r="G1338"/>
      <c r="H1338"/>
      <c r="I1338"/>
      <c r="J1338"/>
      <c r="K1338"/>
      <c r="L1338"/>
      <c r="M1338"/>
      <c r="P1338"/>
      <c r="Q1338" s="2"/>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row>
    <row r="1339" spans="1:47" s="50" customFormat="1" x14ac:dyDescent="0.35">
      <c r="A1339"/>
      <c r="B1339"/>
      <c r="C1339"/>
      <c r="D1339"/>
      <c r="E1339"/>
      <c r="F1339"/>
      <c r="G1339"/>
      <c r="H1339"/>
      <c r="I1339"/>
      <c r="J1339"/>
      <c r="K1339"/>
      <c r="L1339"/>
      <c r="M1339"/>
      <c r="P1339"/>
      <c r="Q1339" s="2"/>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row>
    <row r="1340" spans="1:47" s="50" customFormat="1" x14ac:dyDescent="0.35">
      <c r="A1340"/>
      <c r="B1340"/>
      <c r="C1340"/>
      <c r="D1340"/>
      <c r="E1340"/>
      <c r="F1340"/>
      <c r="G1340"/>
      <c r="H1340"/>
      <c r="I1340"/>
      <c r="J1340"/>
      <c r="K1340"/>
      <c r="L1340"/>
      <c r="M1340"/>
      <c r="P1340"/>
      <c r="Q1340" s="2"/>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row>
    <row r="1341" spans="1:47" s="50" customFormat="1" x14ac:dyDescent="0.35">
      <c r="A1341"/>
      <c r="B1341"/>
      <c r="C1341"/>
      <c r="D1341"/>
      <c r="E1341"/>
      <c r="F1341"/>
      <c r="G1341"/>
      <c r="H1341"/>
      <c r="I1341"/>
      <c r="J1341"/>
      <c r="K1341"/>
      <c r="L1341"/>
      <c r="M1341"/>
      <c r="P1341"/>
      <c r="Q1341" s="2"/>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row>
    <row r="1342" spans="1:47" s="50" customFormat="1" x14ac:dyDescent="0.35">
      <c r="A1342"/>
      <c r="B1342"/>
      <c r="C1342"/>
      <c r="D1342"/>
      <c r="E1342"/>
      <c r="F1342"/>
      <c r="G1342"/>
      <c r="H1342"/>
      <c r="I1342"/>
      <c r="J1342"/>
      <c r="K1342"/>
      <c r="L1342"/>
      <c r="M1342"/>
      <c r="P1342"/>
      <c r="Q1342" s="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row>
    <row r="1343" spans="1:47" s="50" customFormat="1" x14ac:dyDescent="0.35">
      <c r="A1343"/>
      <c r="B1343"/>
      <c r="C1343"/>
      <c r="D1343"/>
      <c r="E1343"/>
      <c r="F1343"/>
      <c r="G1343"/>
      <c r="H1343"/>
      <c r="I1343"/>
      <c r="J1343"/>
      <c r="K1343"/>
      <c r="L1343"/>
      <c r="M1343"/>
      <c r="P1343"/>
      <c r="Q1343" s="2"/>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row>
    <row r="1344" spans="1:47" s="50" customFormat="1" x14ac:dyDescent="0.35">
      <c r="A1344"/>
      <c r="B1344"/>
      <c r="C1344"/>
      <c r="D1344"/>
      <c r="E1344"/>
      <c r="F1344"/>
      <c r="G1344"/>
      <c r="H1344"/>
      <c r="I1344"/>
      <c r="J1344"/>
      <c r="K1344"/>
      <c r="L1344"/>
      <c r="M1344"/>
      <c r="P1344"/>
      <c r="Q1344" s="2"/>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row>
    <row r="1345" spans="1:47" s="50" customFormat="1" x14ac:dyDescent="0.35">
      <c r="A1345"/>
      <c r="B1345"/>
      <c r="C1345"/>
      <c r="D1345"/>
      <c r="E1345"/>
      <c r="F1345"/>
      <c r="G1345"/>
      <c r="H1345"/>
      <c r="I1345"/>
      <c r="J1345"/>
      <c r="K1345"/>
      <c r="L1345"/>
      <c r="M1345"/>
      <c r="P1345"/>
      <c r="Q1345" s="2"/>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row>
    <row r="1346" spans="1:47" s="50" customFormat="1" x14ac:dyDescent="0.35">
      <c r="A1346"/>
      <c r="B1346"/>
      <c r="C1346"/>
      <c r="D1346"/>
      <c r="E1346"/>
      <c r="F1346"/>
      <c r="G1346"/>
      <c r="H1346"/>
      <c r="I1346"/>
      <c r="J1346"/>
      <c r="K1346"/>
      <c r="L1346"/>
      <c r="M1346"/>
      <c r="P1346"/>
      <c r="Q1346" s="2"/>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row>
    <row r="1347" spans="1:47" s="50" customFormat="1" x14ac:dyDescent="0.35">
      <c r="A1347"/>
      <c r="B1347"/>
      <c r="C1347"/>
      <c r="D1347"/>
      <c r="E1347"/>
      <c r="F1347"/>
      <c r="G1347"/>
      <c r="H1347"/>
      <c r="I1347"/>
      <c r="J1347"/>
      <c r="K1347"/>
      <c r="L1347"/>
      <c r="M1347"/>
      <c r="P1347"/>
      <c r="Q1347" s="2"/>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row>
    <row r="1348" spans="1:47" s="50" customFormat="1" x14ac:dyDescent="0.35">
      <c r="A1348"/>
      <c r="B1348"/>
      <c r="C1348"/>
      <c r="D1348"/>
      <c r="E1348"/>
      <c r="F1348"/>
      <c r="G1348"/>
      <c r="H1348"/>
      <c r="I1348"/>
      <c r="J1348"/>
      <c r="K1348"/>
      <c r="L1348"/>
      <c r="M1348"/>
      <c r="P1348"/>
      <c r="Q1348" s="2"/>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row>
    <row r="1349" spans="1:47" s="50" customFormat="1" x14ac:dyDescent="0.35">
      <c r="A1349"/>
      <c r="B1349"/>
      <c r="C1349"/>
      <c r="D1349"/>
      <c r="E1349"/>
      <c r="F1349"/>
      <c r="G1349"/>
      <c r="H1349"/>
      <c r="I1349"/>
      <c r="J1349"/>
      <c r="K1349"/>
      <c r="L1349"/>
      <c r="M1349"/>
      <c r="P1349"/>
      <c r="Q1349" s="2"/>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row>
    <row r="1350" spans="1:47" s="50" customFormat="1" x14ac:dyDescent="0.35">
      <c r="A1350"/>
      <c r="B1350"/>
      <c r="C1350"/>
      <c r="D1350"/>
      <c r="E1350"/>
      <c r="F1350"/>
      <c r="G1350"/>
      <c r="H1350"/>
      <c r="I1350"/>
      <c r="J1350"/>
      <c r="K1350"/>
      <c r="L1350"/>
      <c r="M1350"/>
      <c r="P1350"/>
      <c r="Q1350" s="2"/>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row>
    <row r="1351" spans="1:47" s="50" customFormat="1" x14ac:dyDescent="0.35">
      <c r="A1351"/>
      <c r="B1351"/>
      <c r="C1351"/>
      <c r="D1351"/>
      <c r="E1351"/>
      <c r="F1351"/>
      <c r="G1351"/>
      <c r="H1351"/>
      <c r="I1351"/>
      <c r="J1351"/>
      <c r="K1351"/>
      <c r="L1351"/>
      <c r="M1351"/>
      <c r="P1351"/>
      <c r="Q1351" s="2"/>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row>
    <row r="1352" spans="1:47" s="50" customFormat="1" x14ac:dyDescent="0.35">
      <c r="A1352"/>
      <c r="B1352"/>
      <c r="C1352"/>
      <c r="D1352"/>
      <c r="E1352"/>
      <c r="F1352"/>
      <c r="G1352"/>
      <c r="H1352"/>
      <c r="I1352"/>
      <c r="J1352"/>
      <c r="K1352"/>
      <c r="L1352"/>
      <c r="M1352"/>
      <c r="P1352"/>
      <c r="Q1352" s="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row>
    <row r="1353" spans="1:47" s="50" customFormat="1" x14ac:dyDescent="0.35">
      <c r="A1353"/>
      <c r="B1353"/>
      <c r="C1353"/>
      <c r="D1353"/>
      <c r="E1353"/>
      <c r="F1353"/>
      <c r="G1353"/>
      <c r="H1353"/>
      <c r="I1353"/>
      <c r="J1353"/>
      <c r="K1353"/>
      <c r="L1353"/>
      <c r="M1353"/>
      <c r="P1353"/>
      <c r="Q1353" s="2"/>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row>
    <row r="1354" spans="1:47" s="50" customFormat="1" x14ac:dyDescent="0.35">
      <c r="A1354"/>
      <c r="B1354"/>
      <c r="C1354"/>
      <c r="D1354"/>
      <c r="E1354"/>
      <c r="F1354"/>
      <c r="G1354"/>
      <c r="H1354"/>
      <c r="I1354"/>
      <c r="J1354"/>
      <c r="K1354"/>
      <c r="L1354"/>
      <c r="M1354"/>
      <c r="P1354"/>
      <c r="Q1354" s="2"/>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row>
    <row r="1355" spans="1:47" s="50" customFormat="1" x14ac:dyDescent="0.35">
      <c r="A1355"/>
      <c r="B1355"/>
      <c r="C1355"/>
      <c r="D1355"/>
      <c r="E1355"/>
      <c r="F1355"/>
      <c r="G1355"/>
      <c r="H1355"/>
      <c r="I1355"/>
      <c r="J1355"/>
      <c r="K1355"/>
      <c r="L1355"/>
      <c r="M1355"/>
      <c r="P1355"/>
      <c r="Q1355" s="2"/>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row>
    <row r="1356" spans="1:47" s="50" customFormat="1" x14ac:dyDescent="0.35">
      <c r="A1356"/>
      <c r="B1356"/>
      <c r="C1356"/>
      <c r="D1356"/>
      <c r="E1356"/>
      <c r="F1356"/>
      <c r="G1356"/>
      <c r="H1356"/>
      <c r="I1356"/>
      <c r="J1356"/>
      <c r="K1356"/>
      <c r="L1356"/>
      <c r="M1356"/>
      <c r="P1356"/>
      <c r="Q1356" s="2"/>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row>
    <row r="1357" spans="1:47" s="50" customFormat="1" x14ac:dyDescent="0.35">
      <c r="A1357"/>
      <c r="B1357"/>
      <c r="C1357"/>
      <c r="D1357"/>
      <c r="E1357"/>
      <c r="F1357"/>
      <c r="G1357"/>
      <c r="H1357"/>
      <c r="I1357"/>
      <c r="J1357"/>
      <c r="K1357"/>
      <c r="L1357"/>
      <c r="M1357"/>
      <c r="P1357"/>
      <c r="Q1357" s="2"/>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row>
    <row r="1358" spans="1:47" s="50" customFormat="1" x14ac:dyDescent="0.35">
      <c r="A1358"/>
      <c r="B1358"/>
      <c r="C1358"/>
      <c r="D1358"/>
      <c r="E1358"/>
      <c r="F1358"/>
      <c r="G1358"/>
      <c r="H1358"/>
      <c r="I1358"/>
      <c r="J1358"/>
      <c r="K1358"/>
      <c r="L1358"/>
      <c r="M1358"/>
      <c r="P1358"/>
      <c r="Q1358" s="2"/>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row>
    <row r="1359" spans="1:47" s="50" customFormat="1" x14ac:dyDescent="0.35">
      <c r="A1359"/>
      <c r="B1359"/>
      <c r="C1359"/>
      <c r="D1359"/>
      <c r="E1359"/>
      <c r="F1359"/>
      <c r="G1359"/>
      <c r="H1359"/>
      <c r="I1359"/>
      <c r="J1359"/>
      <c r="K1359"/>
      <c r="L1359"/>
      <c r="M1359"/>
      <c r="P1359"/>
      <c r="Q1359" s="2"/>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row>
    <row r="1360" spans="1:47" s="50" customFormat="1" x14ac:dyDescent="0.35">
      <c r="A1360"/>
      <c r="B1360"/>
      <c r="C1360"/>
      <c r="D1360"/>
      <c r="E1360"/>
      <c r="F1360"/>
      <c r="G1360"/>
      <c r="H1360"/>
      <c r="I1360"/>
      <c r="J1360"/>
      <c r="K1360"/>
      <c r="L1360"/>
      <c r="M1360"/>
      <c r="P1360"/>
      <c r="Q1360" s="2"/>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row>
    <row r="1361" spans="1:47" s="50" customFormat="1" x14ac:dyDescent="0.35">
      <c r="A1361"/>
      <c r="B1361"/>
      <c r="C1361"/>
      <c r="D1361"/>
      <c r="E1361"/>
      <c r="F1361"/>
      <c r="G1361"/>
      <c r="H1361"/>
      <c r="I1361"/>
      <c r="J1361"/>
      <c r="K1361"/>
      <c r="L1361"/>
      <c r="M1361"/>
      <c r="P1361"/>
      <c r="Q1361" s="2"/>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row>
    <row r="1362" spans="1:47" s="50" customFormat="1" x14ac:dyDescent="0.35">
      <c r="A1362"/>
      <c r="B1362"/>
      <c r="C1362"/>
      <c r="D1362"/>
      <c r="E1362"/>
      <c r="F1362"/>
      <c r="G1362"/>
      <c r="H1362"/>
      <c r="I1362"/>
      <c r="J1362"/>
      <c r="K1362"/>
      <c r="L1362"/>
      <c r="M1362"/>
      <c r="P1362"/>
      <c r="Q1362" s="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row>
    <row r="1363" spans="1:47" s="50" customFormat="1" x14ac:dyDescent="0.35">
      <c r="A1363"/>
      <c r="B1363"/>
      <c r="C1363"/>
      <c r="D1363"/>
      <c r="E1363"/>
      <c r="F1363"/>
      <c r="G1363"/>
      <c r="H1363"/>
      <c r="I1363"/>
      <c r="J1363"/>
      <c r="K1363"/>
      <c r="L1363"/>
      <c r="M1363"/>
      <c r="P1363"/>
      <c r="Q1363" s="2"/>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row>
    <row r="1364" spans="1:47" s="50" customFormat="1" x14ac:dyDescent="0.35">
      <c r="A1364"/>
      <c r="B1364"/>
      <c r="C1364"/>
      <c r="D1364"/>
      <c r="E1364"/>
      <c r="F1364"/>
      <c r="G1364"/>
      <c r="H1364"/>
      <c r="I1364"/>
      <c r="J1364"/>
      <c r="K1364"/>
      <c r="L1364"/>
      <c r="M1364"/>
      <c r="P1364"/>
      <c r="Q1364" s="2"/>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row>
    <row r="1365" spans="1:47" s="50" customFormat="1" x14ac:dyDescent="0.35">
      <c r="A1365"/>
      <c r="B1365"/>
      <c r="C1365"/>
      <c r="D1365"/>
      <c r="E1365"/>
      <c r="F1365"/>
      <c r="G1365"/>
      <c r="H1365"/>
      <c r="I1365"/>
      <c r="J1365"/>
      <c r="K1365"/>
      <c r="L1365"/>
      <c r="M1365"/>
      <c r="P1365"/>
      <c r="Q1365" s="2"/>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row>
    <row r="1366" spans="1:47" s="50" customFormat="1" x14ac:dyDescent="0.35">
      <c r="A1366"/>
      <c r="B1366"/>
      <c r="C1366"/>
      <c r="D1366"/>
      <c r="E1366"/>
      <c r="F1366"/>
      <c r="G1366"/>
      <c r="H1366"/>
      <c r="I1366"/>
      <c r="J1366"/>
      <c r="K1366"/>
      <c r="L1366"/>
      <c r="M1366"/>
      <c r="P1366"/>
      <c r="Q1366" s="2"/>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row>
    <row r="1367" spans="1:47" s="50" customFormat="1" x14ac:dyDescent="0.35">
      <c r="A1367"/>
      <c r="B1367"/>
      <c r="C1367"/>
      <c r="D1367"/>
      <c r="E1367"/>
      <c r="F1367"/>
      <c r="G1367"/>
      <c r="H1367"/>
      <c r="I1367"/>
      <c r="J1367"/>
      <c r="K1367"/>
      <c r="L1367"/>
      <c r="M1367"/>
      <c r="P1367"/>
      <c r="Q1367" s="2"/>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row>
    <row r="1368" spans="1:47" s="50" customFormat="1" x14ac:dyDescent="0.35">
      <c r="A1368"/>
      <c r="B1368"/>
      <c r="C1368"/>
      <c r="D1368"/>
      <c r="E1368"/>
      <c r="F1368"/>
      <c r="G1368"/>
      <c r="H1368"/>
      <c r="I1368"/>
      <c r="J1368"/>
      <c r="K1368"/>
      <c r="L1368"/>
      <c r="M1368"/>
      <c r="P1368"/>
      <c r="Q1368" s="2"/>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row>
    <row r="1369" spans="1:47" s="50" customFormat="1" x14ac:dyDescent="0.35">
      <c r="A1369"/>
      <c r="B1369"/>
      <c r="C1369"/>
      <c r="D1369"/>
      <c r="E1369"/>
      <c r="F1369"/>
      <c r="G1369"/>
      <c r="H1369"/>
      <c r="I1369"/>
      <c r="J1369"/>
      <c r="K1369"/>
      <c r="L1369"/>
      <c r="M1369"/>
      <c r="P1369"/>
      <c r="Q1369" s="2"/>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row>
    <row r="1370" spans="1:47" s="50" customFormat="1" x14ac:dyDescent="0.35">
      <c r="A1370"/>
      <c r="B1370"/>
      <c r="C1370"/>
      <c r="D1370"/>
      <c r="E1370"/>
      <c r="F1370"/>
      <c r="G1370"/>
      <c r="H1370"/>
      <c r="I1370"/>
      <c r="J1370"/>
      <c r="K1370"/>
      <c r="L1370"/>
      <c r="M1370"/>
      <c r="P1370"/>
      <c r="Q1370" s="2"/>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row>
    <row r="1371" spans="1:47" s="50" customFormat="1" x14ac:dyDescent="0.35">
      <c r="A1371"/>
      <c r="B1371"/>
      <c r="C1371"/>
      <c r="D1371"/>
      <c r="E1371"/>
      <c r="F1371"/>
      <c r="G1371"/>
      <c r="H1371"/>
      <c r="I1371"/>
      <c r="J1371"/>
      <c r="K1371"/>
      <c r="L1371"/>
      <c r="M1371"/>
      <c r="P1371"/>
      <c r="Q1371" s="2"/>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row>
    <row r="1372" spans="1:47" s="50" customFormat="1" x14ac:dyDescent="0.35">
      <c r="A1372"/>
      <c r="B1372"/>
      <c r="C1372"/>
      <c r="D1372"/>
      <c r="E1372"/>
      <c r="F1372"/>
      <c r="G1372"/>
      <c r="H1372"/>
      <c r="I1372"/>
      <c r="J1372"/>
      <c r="K1372"/>
      <c r="L1372"/>
      <c r="M1372"/>
      <c r="P1372"/>
      <c r="Q1372" s="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row>
    <row r="1373" spans="1:47" s="50" customFormat="1" x14ac:dyDescent="0.35">
      <c r="A1373"/>
      <c r="B1373"/>
      <c r="C1373"/>
      <c r="D1373"/>
      <c r="E1373"/>
      <c r="F1373"/>
      <c r="G1373"/>
      <c r="H1373"/>
      <c r="I1373"/>
      <c r="J1373"/>
      <c r="K1373"/>
      <c r="L1373"/>
      <c r="M1373"/>
      <c r="P1373"/>
      <c r="Q1373" s="2"/>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row>
    <row r="1374" spans="1:47" s="50" customFormat="1" x14ac:dyDescent="0.35">
      <c r="A1374"/>
      <c r="B1374"/>
      <c r="C1374"/>
      <c r="D1374"/>
      <c r="E1374"/>
      <c r="F1374"/>
      <c r="G1374"/>
      <c r="H1374"/>
      <c r="I1374"/>
      <c r="J1374"/>
      <c r="K1374"/>
      <c r="L1374"/>
      <c r="M1374"/>
      <c r="P1374"/>
      <c r="Q1374" s="2"/>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row>
    <row r="1375" spans="1:47" s="50" customFormat="1" x14ac:dyDescent="0.35">
      <c r="A1375"/>
      <c r="B1375"/>
      <c r="C1375"/>
      <c r="D1375"/>
      <c r="E1375"/>
      <c r="F1375"/>
      <c r="G1375"/>
      <c r="H1375"/>
      <c r="I1375"/>
      <c r="J1375"/>
      <c r="K1375"/>
      <c r="L1375"/>
      <c r="M1375"/>
      <c r="P1375"/>
      <c r="Q1375" s="2"/>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row>
    <row r="1376" spans="1:47" s="50" customFormat="1" x14ac:dyDescent="0.35">
      <c r="A1376"/>
      <c r="B1376"/>
      <c r="C1376"/>
      <c r="D1376"/>
      <c r="E1376"/>
      <c r="F1376"/>
      <c r="G1376"/>
      <c r="H1376"/>
      <c r="I1376"/>
      <c r="J1376"/>
      <c r="K1376"/>
      <c r="L1376"/>
      <c r="M1376"/>
      <c r="P1376"/>
      <c r="Q1376" s="2"/>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row>
    <row r="1377" spans="1:47" s="50" customFormat="1" x14ac:dyDescent="0.35">
      <c r="A1377"/>
      <c r="B1377"/>
      <c r="C1377"/>
      <c r="D1377"/>
      <c r="E1377"/>
      <c r="F1377"/>
      <c r="G1377"/>
      <c r="H1377"/>
      <c r="I1377"/>
      <c r="J1377"/>
      <c r="K1377"/>
      <c r="L1377"/>
      <c r="M1377"/>
      <c r="P1377"/>
      <c r="Q1377" s="2"/>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row>
    <row r="1378" spans="1:47" s="50" customFormat="1" x14ac:dyDescent="0.35">
      <c r="A1378"/>
      <c r="B1378"/>
      <c r="C1378"/>
      <c r="D1378"/>
      <c r="E1378"/>
      <c r="F1378"/>
      <c r="G1378"/>
      <c r="H1378"/>
      <c r="I1378"/>
      <c r="J1378"/>
      <c r="K1378"/>
      <c r="L1378"/>
      <c r="M1378"/>
      <c r="P1378"/>
      <c r="Q1378" s="2"/>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row>
  </sheetData>
  <sheetProtection formatCells="0" formatColumns="0" formatRows="0" insertColumns="0" insertRows="0" insertHyperlinks="0" deleteColumns="0" deleteRows="0" sort="0" autoFilter="0" pivotTables="0"/>
  <autoFilter ref="H24:M24" xr:uid="{61CE5411-EC0B-414E-926A-F532998530A4}"/>
  <mergeCells count="3">
    <mergeCell ref="K15:P15"/>
    <mergeCell ref="K16:P16"/>
    <mergeCell ref="K14:P14"/>
  </mergeCells>
  <conditionalFormatting sqref="L25:M25">
    <cfRule type="cellIs" dxfId="5" priority="1" operator="notEqual">
      <formula>0</formula>
    </cfRule>
    <cfRule type="cellIs" dxfId="4" priority="2" operator="equal">
      <formula>0</formula>
    </cfRule>
  </conditionalFormatting>
  <pageMargins left="0.7" right="0.7" top="0.75" bottom="0.75" header="0.3" footer="0.3"/>
  <pageSetup orientation="portrait" horizontalDpi="300" verticalDpi="300" r:id="rId1"/>
  <headerFooter>
    <oddFooter>&amp;C_x000D_&amp;1#&amp;"Calibri"&amp;10&amp;K000000 Restricted : General Al-Futtaim Group</oddFooter>
  </headerFooter>
  <customProperties>
    <customPr name="_pios_id" r:id="rId2"/>
    <customPr name="EpmWorksheetKeyString_GUID" r:id="rId3"/>
    <customPr name="FPMExcelClientCellBasedFunctionStatus" r:id="rId4"/>
    <customPr name="FPMExcelClientRefreshTime" r:id="rId5"/>
  </customProperties>
  <drawing r:id="rId6"/>
  <legacyDrawing r:id="rId7"/>
  <controls>
    <mc:AlternateContent xmlns:mc="http://schemas.openxmlformats.org/markup-compatibility/2006">
      <mc:Choice Requires="x14">
        <control shapeId="21505" r:id="rId8" name="ConnectionDescriptorsInfo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05" r:id="rId8" name="ConnectionDescriptorsInfotb1"/>
      </mc:Fallback>
    </mc:AlternateContent>
    <mc:AlternateContent xmlns:mc="http://schemas.openxmlformats.org/markup-compatibility/2006">
      <mc:Choice Requires="x14">
        <control shapeId="21506" r:id="rId10" name="MultipleReportManagerInfo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06" r:id="rId10" name="MultipleReportManagerInfotb1"/>
      </mc:Fallback>
    </mc:AlternateContent>
    <mc:AlternateContent xmlns:mc="http://schemas.openxmlformats.org/markup-compatibility/2006">
      <mc:Choice Requires="x14">
        <control shapeId="21507" r:id="rId11" name="FPMExcelClientSheetOptions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07" r:id="rId11" name="FPMExcelClientSheetOptionstb1"/>
      </mc:Fallback>
    </mc:AlternateContent>
    <mc:AlternateContent xmlns:mc="http://schemas.openxmlformats.org/markup-compatibility/2006">
      <mc:Choice Requires="x14">
        <control shapeId="21508" r:id="rId12" name="ReportSubmitManagerControl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08" r:id="rId12" name="ReportSubmitManagerControltb1"/>
      </mc:Fallback>
    </mc:AlternateContent>
    <mc:AlternateContent xmlns:mc="http://schemas.openxmlformats.org/markup-compatibility/2006">
      <mc:Choice Requires="x14">
        <control shapeId="21509" r:id="rId13" name="ReportSubmitControl_1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09" r:id="rId13" name="ReportSubmitControl_1tb1"/>
      </mc:Fallback>
    </mc:AlternateContent>
    <mc:AlternateContent xmlns:mc="http://schemas.openxmlformats.org/markup-compatibility/2006">
      <mc:Choice Requires="x14">
        <control shapeId="21510" r:id="rId14" name="AnalyzerDynReport000tb1">
          <controlPr defaultSize="0" autoLine="0" autoPict="0" r:id="rId9">
            <anchor moveWithCells="1" sizeWithCells="1">
              <from>
                <xdr:col>0</xdr:col>
                <xdr:colOff>0</xdr:colOff>
                <xdr:row>0</xdr:row>
                <xdr:rowOff>0</xdr:rowOff>
              </from>
              <to>
                <xdr:col>1</xdr:col>
                <xdr:colOff>304800</xdr:colOff>
                <xdr:row>0</xdr:row>
                <xdr:rowOff>0</xdr:rowOff>
              </to>
            </anchor>
          </controlPr>
        </control>
      </mc:Choice>
      <mc:Fallback>
        <control shapeId="21510" r:id="rId14" name="AnalyzerDynReport000tb1"/>
      </mc:Fallback>
    </mc:AlternateContent>
    <mc:AlternateContent xmlns:mc="http://schemas.openxmlformats.org/markup-compatibility/2006">
      <mc:Choice Requires="x14">
        <control shapeId="21511" r:id="rId15" name="CustomMemberDispatchertb1">
          <controlPr defaultSize="0" autoLine="0" autoPict="0" r:id="rId16">
            <anchor moveWithCells="1" sizeWithCells="1">
              <from>
                <xdr:col>0</xdr:col>
                <xdr:colOff>0</xdr:colOff>
                <xdr:row>0</xdr:row>
                <xdr:rowOff>0</xdr:rowOff>
              </from>
              <to>
                <xdr:col>7</xdr:col>
                <xdr:colOff>781050</xdr:colOff>
                <xdr:row>0</xdr:row>
                <xdr:rowOff>0</xdr:rowOff>
              </to>
            </anchor>
          </controlPr>
        </control>
      </mc:Choice>
      <mc:Fallback>
        <control shapeId="21511" r:id="rId15" name="CustomMemberDispatcher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72D24-F826-4B29-85DD-006F613F69C6}">
  <sheetPr codeName="Sheet30"/>
  <dimension ref="A1:BO436"/>
  <sheetViews>
    <sheetView showGridLines="0" tabSelected="1" zoomScale="80" zoomScaleNormal="80" workbookViewId="0">
      <pane xSplit="11" ySplit="16" topLeftCell="L27" activePane="bottomRight" state="frozen"/>
      <selection activeCell="I15" sqref="I15"/>
      <selection pane="topRight" activeCell="I15" sqref="I15"/>
      <selection pane="bottomLeft" activeCell="I15" sqref="I15"/>
      <selection pane="bottomRight" activeCell="I15" sqref="I15"/>
    </sheetView>
  </sheetViews>
  <sheetFormatPr defaultRowHeight="14.5" outlineLevelCol="1" x14ac:dyDescent="0.35"/>
  <cols>
    <col min="1" max="1" width="36.81640625" hidden="1" customWidth="1" outlineLevel="1"/>
    <col min="2" max="2" width="16" hidden="1" customWidth="1" outlineLevel="1"/>
    <col min="3" max="3" width="20" hidden="1" customWidth="1" outlineLevel="1"/>
    <col min="4" max="4" width="12.453125" hidden="1" customWidth="1" outlineLevel="1"/>
    <col min="5" max="5" width="14.453125" hidden="1" customWidth="1" outlineLevel="1"/>
    <col min="6" max="6" width="9.453125" hidden="1" customWidth="1" outlineLevel="1"/>
    <col min="7" max="7" width="2.1796875" customWidth="1" collapsed="1"/>
    <col min="8" max="8" width="44.81640625" bestFit="1" customWidth="1"/>
    <col min="9" max="9" width="45.453125" customWidth="1"/>
    <col min="10" max="10" width="45.1796875" customWidth="1"/>
    <col min="11" max="11" width="53.453125" hidden="1" customWidth="1"/>
    <col min="12" max="12" width="15.1796875" bestFit="1" customWidth="1"/>
    <col min="13" max="13" width="11.453125" bestFit="1" customWidth="1"/>
    <col min="14" max="14" width="13.453125" customWidth="1"/>
    <col min="15" max="36" width="17.54296875" customWidth="1"/>
    <col min="37" max="37" width="17.54296875" customWidth="1" collapsed="1"/>
    <col min="38" max="52" width="17.54296875" customWidth="1"/>
    <col min="53" max="53" width="26.453125" customWidth="1"/>
    <col min="54" max="58" width="17.54296875" customWidth="1"/>
    <col min="59" max="59" width="22.81640625" customWidth="1"/>
    <col min="60" max="60" width="21" customWidth="1"/>
    <col min="61" max="61" width="18.81640625" customWidth="1"/>
    <col min="62" max="62" width="24.1796875" customWidth="1"/>
    <col min="63" max="65" width="17.1796875" customWidth="1"/>
    <col min="66" max="66" width="16.1796875" customWidth="1"/>
    <col min="67" max="67" width="11.453125" bestFit="1" customWidth="1" collapsed="1"/>
    <col min="68" max="68" width="11.453125" bestFit="1" customWidth="1"/>
    <col min="69" max="70" width="23.1796875" bestFit="1" customWidth="1"/>
    <col min="71" max="71" width="32.54296875" bestFit="1" customWidth="1"/>
    <col min="72" max="72" width="27.81640625" bestFit="1" customWidth="1"/>
    <col min="73" max="74" width="23.1796875" bestFit="1" customWidth="1"/>
    <col min="75" max="75" width="55.54296875" bestFit="1" customWidth="1"/>
    <col min="76" max="76" width="27.81640625" bestFit="1" customWidth="1"/>
    <col min="77" max="77" width="34.54296875" bestFit="1" customWidth="1"/>
    <col min="78" max="78" width="23.54296875" bestFit="1" customWidth="1"/>
    <col min="79" max="79" width="42" bestFit="1" customWidth="1"/>
    <col min="80" max="80" width="43.54296875" bestFit="1" customWidth="1"/>
    <col min="81" max="81" width="39.81640625" bestFit="1" customWidth="1"/>
    <col min="82" max="82" width="49.453125" bestFit="1" customWidth="1"/>
    <col min="83" max="83" width="43.1796875" bestFit="1" customWidth="1"/>
    <col min="84" max="85" width="40.453125" bestFit="1" customWidth="1"/>
    <col min="86" max="86" width="34.1796875" bestFit="1" customWidth="1"/>
    <col min="87" max="87" width="27.453125" bestFit="1" customWidth="1"/>
    <col min="88" max="88" width="29.453125" bestFit="1" customWidth="1"/>
    <col min="89" max="89" width="48" bestFit="1" customWidth="1"/>
    <col min="90" max="90" width="31.54296875" bestFit="1" customWidth="1"/>
    <col min="91" max="91" width="29.453125" bestFit="1" customWidth="1"/>
    <col min="92" max="92" width="30.453125" bestFit="1" customWidth="1"/>
    <col min="93" max="93" width="15" bestFit="1" customWidth="1"/>
    <col min="94" max="94" width="15.453125" bestFit="1" customWidth="1"/>
    <col min="95" max="95" width="14.54296875" bestFit="1" customWidth="1"/>
    <col min="96" max="96" width="26" bestFit="1" customWidth="1"/>
    <col min="97" max="97" width="22.54296875" bestFit="1" customWidth="1"/>
    <col min="98" max="98" width="33.81640625" bestFit="1" customWidth="1"/>
    <col min="99" max="99" width="29.453125" bestFit="1" customWidth="1"/>
    <col min="100" max="100" width="20.453125" bestFit="1" customWidth="1"/>
    <col min="101" max="101" width="22.54296875" bestFit="1" customWidth="1"/>
    <col min="102" max="103" width="32.54296875" bestFit="1" customWidth="1"/>
    <col min="104" max="104" width="40.54296875" bestFit="1" customWidth="1"/>
    <col min="105" max="105" width="16.54296875" bestFit="1" customWidth="1"/>
    <col min="106" max="106" width="24.54296875" bestFit="1" customWidth="1"/>
    <col min="107" max="107" width="31.453125" bestFit="1" customWidth="1"/>
    <col min="108" max="108" width="21.1796875" bestFit="1" customWidth="1"/>
    <col min="109" max="109" width="22" bestFit="1" customWidth="1"/>
    <col min="110" max="110" width="31.81640625" bestFit="1" customWidth="1"/>
    <col min="111" max="111" width="15.453125" bestFit="1" customWidth="1"/>
    <col min="112" max="112" width="36.453125" bestFit="1" customWidth="1"/>
    <col min="113" max="113" width="25" bestFit="1" customWidth="1"/>
    <col min="114" max="114" width="40" bestFit="1" customWidth="1"/>
    <col min="115" max="115" width="27.54296875" bestFit="1" customWidth="1"/>
    <col min="116" max="116" width="30.453125" bestFit="1" customWidth="1"/>
    <col min="117" max="117" width="15" bestFit="1" customWidth="1"/>
    <col min="118" max="118" width="15.453125" bestFit="1" customWidth="1"/>
    <col min="119" max="119" width="14.54296875" bestFit="1" customWidth="1"/>
    <col min="120" max="120" width="26" bestFit="1" customWidth="1"/>
    <col min="121" max="121" width="22.54296875" bestFit="1" customWidth="1"/>
    <col min="122" max="122" width="33.81640625" bestFit="1" customWidth="1"/>
    <col min="123" max="123" width="29.453125" bestFit="1" customWidth="1"/>
    <col min="124" max="124" width="20.453125" bestFit="1" customWidth="1"/>
    <col min="125" max="125" width="22.54296875" bestFit="1" customWidth="1"/>
    <col min="126" max="127" width="32.54296875" bestFit="1" customWidth="1"/>
    <col min="128" max="128" width="40.54296875" bestFit="1" customWidth="1"/>
    <col min="129" max="129" width="16.54296875" bestFit="1" customWidth="1"/>
    <col min="130" max="130" width="24.54296875" bestFit="1" customWidth="1"/>
    <col min="131" max="131" width="31.453125" bestFit="1" customWidth="1"/>
    <col min="132" max="132" width="21.1796875" bestFit="1" customWidth="1"/>
    <col min="133" max="133" width="22" bestFit="1" customWidth="1"/>
    <col min="134" max="134" width="31.81640625" bestFit="1" customWidth="1"/>
    <col min="135" max="135" width="15.453125" bestFit="1" customWidth="1"/>
    <col min="136" max="136" width="36.453125" bestFit="1" customWidth="1"/>
    <col min="137" max="137" width="25" bestFit="1" customWidth="1"/>
    <col min="138" max="138" width="40" bestFit="1" customWidth="1"/>
    <col min="139" max="139" width="27.54296875" bestFit="1" customWidth="1"/>
    <col min="140" max="140" width="15" bestFit="1" customWidth="1"/>
    <col min="141" max="141" width="15.453125" bestFit="1" customWidth="1"/>
    <col min="142" max="142" width="14.54296875" bestFit="1" customWidth="1"/>
    <col min="143" max="143" width="26" bestFit="1" customWidth="1"/>
    <col min="144" max="144" width="22.54296875" bestFit="1" customWidth="1"/>
    <col min="145" max="145" width="33.81640625" bestFit="1" customWidth="1"/>
    <col min="146" max="146" width="29.453125" bestFit="1" customWidth="1"/>
    <col min="147" max="147" width="20.453125" bestFit="1" customWidth="1"/>
    <col min="148" max="148" width="22.54296875" bestFit="1" customWidth="1"/>
    <col min="149" max="150" width="32.54296875" bestFit="1" customWidth="1"/>
    <col min="151" max="151" width="40.54296875" bestFit="1" customWidth="1"/>
    <col min="152" max="152" width="16.54296875" bestFit="1" customWidth="1"/>
    <col min="153" max="153" width="24.54296875" bestFit="1" customWidth="1"/>
    <col min="154" max="154" width="31.453125" bestFit="1" customWidth="1"/>
    <col min="155" max="155" width="21.1796875" bestFit="1" customWidth="1"/>
    <col min="156" max="156" width="22" bestFit="1" customWidth="1"/>
    <col min="157" max="157" width="31.81640625" bestFit="1" customWidth="1"/>
    <col min="158" max="158" width="15.453125" bestFit="1" customWidth="1"/>
    <col min="159" max="159" width="36.453125" bestFit="1" customWidth="1"/>
    <col min="160" max="160" width="25" bestFit="1" customWidth="1"/>
    <col min="161" max="161" width="40" bestFit="1" customWidth="1"/>
    <col min="162" max="162" width="27.54296875" bestFit="1" customWidth="1"/>
    <col min="163" max="163" width="24.54296875" bestFit="1" customWidth="1"/>
    <col min="164" max="164" width="15" bestFit="1" customWidth="1"/>
    <col min="165" max="165" width="15.453125" bestFit="1" customWidth="1"/>
    <col min="166" max="166" width="14.54296875" bestFit="1" customWidth="1"/>
    <col min="167" max="167" width="26" bestFit="1" customWidth="1"/>
    <col min="168" max="168" width="22.54296875" bestFit="1" customWidth="1"/>
    <col min="169" max="169" width="33.81640625" bestFit="1" customWidth="1"/>
    <col min="170" max="170" width="29.453125" bestFit="1" customWidth="1"/>
    <col min="171" max="171" width="20.453125" bestFit="1" customWidth="1"/>
    <col min="172" max="172" width="22.54296875" bestFit="1" customWidth="1"/>
    <col min="173" max="174" width="32.54296875" bestFit="1" customWidth="1"/>
    <col min="175" max="175" width="40.54296875" bestFit="1" customWidth="1"/>
    <col min="176" max="176" width="16.54296875" bestFit="1" customWidth="1"/>
    <col min="177" max="177" width="24.54296875" bestFit="1" customWidth="1"/>
    <col min="178" max="178" width="31.453125" bestFit="1" customWidth="1"/>
    <col min="179" max="179" width="21.1796875" bestFit="1" customWidth="1"/>
    <col min="180" max="180" width="22" bestFit="1" customWidth="1"/>
    <col min="181" max="181" width="31.81640625" bestFit="1" customWidth="1"/>
    <col min="182" max="182" width="15.453125" bestFit="1" customWidth="1"/>
    <col min="183" max="183" width="36.453125" bestFit="1" customWidth="1"/>
    <col min="184" max="184" width="25" bestFit="1" customWidth="1"/>
    <col min="185" max="185" width="40" bestFit="1" customWidth="1"/>
    <col min="186" max="186" width="27.54296875" bestFit="1" customWidth="1"/>
    <col min="187" max="187" width="42.453125" bestFit="1" customWidth="1"/>
    <col min="188" max="188" width="15" bestFit="1" customWidth="1"/>
    <col min="189" max="189" width="15.453125" bestFit="1" customWidth="1"/>
    <col min="190" max="190" width="14.54296875" bestFit="1" customWidth="1"/>
    <col min="191" max="191" width="26" bestFit="1" customWidth="1"/>
    <col min="192" max="192" width="22.54296875" bestFit="1" customWidth="1"/>
    <col min="193" max="193" width="33.81640625" bestFit="1" customWidth="1"/>
    <col min="194" max="194" width="29.453125" bestFit="1" customWidth="1"/>
    <col min="195" max="195" width="20.453125" bestFit="1" customWidth="1"/>
    <col min="196" max="196" width="22.54296875" bestFit="1" customWidth="1"/>
    <col min="197" max="198" width="32.54296875" bestFit="1" customWidth="1"/>
    <col min="199" max="199" width="40.54296875" bestFit="1" customWidth="1"/>
    <col min="200" max="200" width="16.54296875" bestFit="1" customWidth="1"/>
    <col min="201" max="201" width="24.54296875" bestFit="1" customWidth="1"/>
    <col min="202" max="202" width="31.453125" bestFit="1" customWidth="1"/>
    <col min="203" max="203" width="21.1796875" bestFit="1" customWidth="1"/>
    <col min="204" max="204" width="22" bestFit="1" customWidth="1"/>
    <col min="205" max="205" width="31.81640625" bestFit="1" customWidth="1"/>
    <col min="206" max="206" width="15.453125" bestFit="1" customWidth="1"/>
    <col min="207" max="207" width="36.453125" bestFit="1" customWidth="1"/>
    <col min="208" max="208" width="25" bestFit="1" customWidth="1"/>
    <col min="209" max="209" width="40" bestFit="1" customWidth="1"/>
    <col min="210" max="210" width="27.54296875" bestFit="1" customWidth="1"/>
    <col min="211" max="211" width="46.453125" bestFit="1" customWidth="1"/>
    <col min="212" max="212" width="15" bestFit="1" customWidth="1"/>
    <col min="213" max="213" width="15.453125" bestFit="1" customWidth="1"/>
    <col min="214" max="214" width="14.54296875" bestFit="1" customWidth="1"/>
    <col min="215" max="215" width="26" bestFit="1" customWidth="1"/>
    <col min="216" max="216" width="22.54296875" bestFit="1" customWidth="1"/>
    <col min="217" max="217" width="33.81640625" bestFit="1" customWidth="1"/>
    <col min="218" max="218" width="29.453125" bestFit="1" customWidth="1"/>
    <col min="219" max="219" width="20.453125" bestFit="1" customWidth="1"/>
    <col min="220" max="220" width="22.54296875" bestFit="1" customWidth="1"/>
    <col min="221" max="222" width="32.54296875" bestFit="1" customWidth="1"/>
    <col min="223" max="223" width="40.54296875" bestFit="1" customWidth="1"/>
    <col min="224" max="224" width="16.54296875" bestFit="1" customWidth="1"/>
    <col min="225" max="225" width="24.54296875" bestFit="1" customWidth="1"/>
    <col min="226" max="226" width="31.453125" bestFit="1" customWidth="1"/>
    <col min="227" max="227" width="21.1796875" bestFit="1" customWidth="1"/>
    <col min="228" max="228" width="22" bestFit="1" customWidth="1"/>
    <col min="229" max="229" width="31.81640625" bestFit="1" customWidth="1"/>
    <col min="230" max="230" width="15.453125" bestFit="1" customWidth="1"/>
    <col min="231" max="231" width="36.453125" bestFit="1" customWidth="1"/>
    <col min="232" max="232" width="25" bestFit="1" customWidth="1"/>
    <col min="233" max="233" width="40" bestFit="1" customWidth="1"/>
    <col min="234" max="234" width="27.54296875" bestFit="1" customWidth="1"/>
    <col min="235" max="235" width="25" bestFit="1" customWidth="1"/>
    <col min="236" max="236" width="15" bestFit="1" customWidth="1"/>
    <col min="237" max="237" width="15.453125" bestFit="1" customWidth="1"/>
    <col min="238" max="238" width="14.54296875" bestFit="1" customWidth="1"/>
    <col min="239" max="239" width="26" bestFit="1" customWidth="1"/>
    <col min="240" max="240" width="22.54296875" bestFit="1" customWidth="1"/>
    <col min="241" max="241" width="33.81640625" bestFit="1" customWidth="1"/>
    <col min="242" max="242" width="29.453125" bestFit="1" customWidth="1"/>
    <col min="243" max="243" width="20.453125" bestFit="1" customWidth="1"/>
    <col min="244" max="244" width="22.54296875" bestFit="1" customWidth="1"/>
    <col min="245" max="246" width="32.54296875" bestFit="1" customWidth="1"/>
    <col min="247" max="247" width="40.54296875" bestFit="1" customWidth="1"/>
    <col min="248" max="248" width="16.54296875" bestFit="1" customWidth="1"/>
    <col min="249" max="249" width="24.54296875" bestFit="1" customWidth="1"/>
    <col min="250" max="250" width="31.453125" bestFit="1" customWidth="1"/>
    <col min="251" max="251" width="21.1796875" bestFit="1" customWidth="1"/>
    <col min="252" max="252" width="22" bestFit="1" customWidth="1"/>
    <col min="253" max="253" width="31.81640625" bestFit="1" customWidth="1"/>
    <col min="254" max="254" width="15.453125" bestFit="1" customWidth="1"/>
    <col min="255" max="255" width="36.453125" bestFit="1" customWidth="1"/>
    <col min="256" max="256" width="25" bestFit="1" customWidth="1"/>
    <col min="257" max="257" width="40" bestFit="1" customWidth="1"/>
    <col min="258" max="258" width="27.54296875" bestFit="1" customWidth="1"/>
    <col min="259" max="259" width="22" bestFit="1" customWidth="1"/>
    <col min="260" max="260" width="15" bestFit="1" customWidth="1"/>
    <col min="261" max="261" width="15.453125" bestFit="1" customWidth="1"/>
    <col min="262" max="262" width="14.54296875" bestFit="1" customWidth="1"/>
    <col min="263" max="263" width="26" bestFit="1" customWidth="1"/>
    <col min="264" max="264" width="22.54296875" bestFit="1" customWidth="1"/>
    <col min="265" max="265" width="33.81640625" bestFit="1" customWidth="1"/>
    <col min="266" max="266" width="29.453125" bestFit="1" customWidth="1"/>
    <col min="267" max="267" width="20.453125" bestFit="1" customWidth="1"/>
    <col min="268" max="268" width="22.54296875" bestFit="1" customWidth="1"/>
    <col min="269" max="270" width="32.54296875" bestFit="1" customWidth="1"/>
    <col min="271" max="271" width="40.54296875" bestFit="1" customWidth="1"/>
    <col min="272" max="272" width="16.54296875" bestFit="1" customWidth="1"/>
    <col min="273" max="273" width="24.54296875" bestFit="1" customWidth="1"/>
    <col min="274" max="274" width="31.453125" bestFit="1" customWidth="1"/>
    <col min="275" max="275" width="21.1796875" bestFit="1" customWidth="1"/>
    <col min="276" max="276" width="22" bestFit="1" customWidth="1"/>
    <col min="277" max="277" width="31.81640625" bestFit="1" customWidth="1"/>
    <col min="278" max="278" width="15.453125" bestFit="1" customWidth="1"/>
    <col min="279" max="279" width="36.453125" bestFit="1" customWidth="1"/>
    <col min="280" max="280" width="25" bestFit="1" customWidth="1"/>
    <col min="281" max="281" width="40" bestFit="1" customWidth="1"/>
    <col min="282" max="282" width="27.54296875" bestFit="1" customWidth="1"/>
    <col min="283" max="283" width="33.1796875" bestFit="1" customWidth="1"/>
    <col min="284" max="284" width="15" bestFit="1" customWidth="1"/>
    <col min="285" max="285" width="15.453125" bestFit="1" customWidth="1"/>
    <col min="286" max="286" width="14.54296875" bestFit="1" customWidth="1"/>
    <col min="287" max="287" width="26" bestFit="1" customWidth="1"/>
    <col min="288" max="288" width="22.54296875" bestFit="1" customWidth="1"/>
    <col min="289" max="289" width="33.81640625" bestFit="1" customWidth="1"/>
    <col min="290" max="290" width="29.453125" bestFit="1" customWidth="1"/>
    <col min="291" max="291" width="20.453125" bestFit="1" customWidth="1"/>
    <col min="292" max="292" width="22.54296875" bestFit="1" customWidth="1"/>
    <col min="293" max="294" width="32.54296875" bestFit="1" customWidth="1"/>
    <col min="295" max="295" width="40.54296875" bestFit="1" customWidth="1"/>
    <col min="296" max="296" width="16.54296875" bestFit="1" customWidth="1"/>
    <col min="297" max="297" width="24.54296875" bestFit="1" customWidth="1"/>
    <col min="298" max="298" width="31.453125" bestFit="1" customWidth="1"/>
    <col min="299" max="299" width="21.1796875" bestFit="1" customWidth="1"/>
    <col min="300" max="300" width="22" bestFit="1" customWidth="1"/>
    <col min="301" max="301" width="31.81640625" bestFit="1" customWidth="1"/>
    <col min="302" max="302" width="15.453125" bestFit="1" customWidth="1"/>
    <col min="303" max="303" width="36.453125" bestFit="1" customWidth="1"/>
    <col min="304" max="304" width="25" bestFit="1" customWidth="1"/>
    <col min="305" max="305" width="40" bestFit="1" customWidth="1"/>
    <col min="306" max="306" width="27.54296875" bestFit="1" customWidth="1"/>
    <col min="307" max="307" width="40.1796875" bestFit="1" customWidth="1"/>
    <col min="308" max="308" width="15" bestFit="1" customWidth="1"/>
    <col min="309" max="309" width="15.453125" bestFit="1" customWidth="1"/>
    <col min="310" max="310" width="14.54296875" bestFit="1" customWidth="1"/>
    <col min="311" max="311" width="26" bestFit="1" customWidth="1"/>
    <col min="312" max="312" width="22.54296875" bestFit="1" customWidth="1"/>
    <col min="313" max="313" width="33.81640625" bestFit="1" customWidth="1"/>
    <col min="314" max="314" width="29.453125" bestFit="1" customWidth="1"/>
    <col min="315" max="315" width="20.453125" bestFit="1" customWidth="1"/>
    <col min="316" max="316" width="22.54296875" bestFit="1" customWidth="1"/>
    <col min="317" max="318" width="32.54296875" bestFit="1" customWidth="1"/>
    <col min="319" max="319" width="40.54296875" bestFit="1" customWidth="1"/>
    <col min="320" max="320" width="16.54296875" bestFit="1" customWidth="1"/>
    <col min="321" max="321" width="24.54296875" bestFit="1" customWidth="1"/>
    <col min="322" max="322" width="31.453125" bestFit="1" customWidth="1"/>
    <col min="323" max="323" width="21.1796875" bestFit="1" customWidth="1"/>
    <col min="324" max="324" width="22" bestFit="1" customWidth="1"/>
    <col min="325" max="325" width="31.81640625" bestFit="1" customWidth="1"/>
    <col min="326" max="326" width="15.453125" bestFit="1" customWidth="1"/>
    <col min="327" max="327" width="36.453125" bestFit="1" customWidth="1"/>
    <col min="328" max="328" width="25" bestFit="1" customWidth="1"/>
    <col min="329" max="329" width="40" bestFit="1" customWidth="1"/>
    <col min="330" max="330" width="27.54296875" bestFit="1" customWidth="1"/>
    <col min="331" max="331" width="32.1796875" bestFit="1" customWidth="1"/>
    <col min="332" max="332" width="15" bestFit="1" customWidth="1"/>
    <col min="333" max="333" width="15.453125" bestFit="1" customWidth="1"/>
    <col min="334" max="334" width="14.54296875" bestFit="1" customWidth="1"/>
    <col min="335" max="335" width="26" bestFit="1" customWidth="1"/>
    <col min="336" max="336" width="22.54296875" bestFit="1" customWidth="1"/>
    <col min="337" max="337" width="33.81640625" bestFit="1" customWidth="1"/>
    <col min="338" max="338" width="29.453125" bestFit="1" customWidth="1"/>
    <col min="339" max="339" width="20.453125" bestFit="1" customWidth="1"/>
    <col min="340" max="340" width="22.54296875" bestFit="1" customWidth="1"/>
    <col min="341" max="342" width="32.54296875" bestFit="1" customWidth="1"/>
    <col min="343" max="343" width="40.54296875" bestFit="1" customWidth="1"/>
    <col min="344" max="344" width="16.54296875" bestFit="1" customWidth="1"/>
    <col min="345" max="345" width="24.54296875" bestFit="1" customWidth="1"/>
    <col min="346" max="346" width="31.453125" bestFit="1" customWidth="1"/>
    <col min="347" max="347" width="21.1796875" bestFit="1" customWidth="1"/>
    <col min="348" max="348" width="22" bestFit="1" customWidth="1"/>
    <col min="349" max="349" width="31.81640625" bestFit="1" customWidth="1"/>
    <col min="350" max="350" width="15.453125" bestFit="1" customWidth="1"/>
    <col min="351" max="351" width="36.453125" bestFit="1" customWidth="1"/>
    <col min="352" max="352" width="25" bestFit="1" customWidth="1"/>
    <col min="353" max="353" width="40" bestFit="1" customWidth="1"/>
    <col min="354" max="354" width="27.54296875" bestFit="1" customWidth="1"/>
    <col min="355" max="355" width="34.1796875" bestFit="1" customWidth="1"/>
    <col min="356" max="356" width="15" bestFit="1" customWidth="1"/>
    <col min="357" max="357" width="15.453125" bestFit="1" customWidth="1"/>
    <col min="358" max="358" width="14.54296875" bestFit="1" customWidth="1"/>
    <col min="359" max="359" width="26" bestFit="1" customWidth="1"/>
    <col min="360" max="360" width="22.54296875" bestFit="1" customWidth="1"/>
    <col min="361" max="361" width="33.81640625" bestFit="1" customWidth="1"/>
    <col min="362" max="362" width="29.453125" bestFit="1" customWidth="1"/>
    <col min="363" max="363" width="20.453125" bestFit="1" customWidth="1"/>
    <col min="364" max="364" width="22.54296875" bestFit="1" customWidth="1"/>
    <col min="365" max="366" width="32.54296875" bestFit="1" customWidth="1"/>
    <col min="367" max="367" width="40.54296875" bestFit="1" customWidth="1"/>
    <col min="368" max="368" width="16.54296875" bestFit="1" customWidth="1"/>
    <col min="369" max="369" width="24.54296875" bestFit="1" customWidth="1"/>
    <col min="370" max="370" width="31.453125" bestFit="1" customWidth="1"/>
    <col min="371" max="371" width="21.1796875" bestFit="1" customWidth="1"/>
    <col min="372" max="372" width="22" bestFit="1" customWidth="1"/>
    <col min="373" max="373" width="31.81640625" bestFit="1" customWidth="1"/>
    <col min="374" max="374" width="15.453125" bestFit="1" customWidth="1"/>
    <col min="375" max="375" width="36.453125" bestFit="1" customWidth="1"/>
    <col min="376" max="376" width="25" bestFit="1" customWidth="1"/>
    <col min="377" max="377" width="40" bestFit="1" customWidth="1"/>
    <col min="378" max="378" width="27.54296875" bestFit="1" customWidth="1"/>
    <col min="379" max="379" width="49" bestFit="1" customWidth="1"/>
    <col min="380" max="380" width="15" bestFit="1" customWidth="1"/>
    <col min="381" max="381" width="15.453125" bestFit="1" customWidth="1"/>
    <col min="382" max="382" width="14.54296875" bestFit="1" customWidth="1"/>
    <col min="383" max="383" width="26" bestFit="1" customWidth="1"/>
    <col min="384" max="384" width="22.54296875" bestFit="1" customWidth="1"/>
    <col min="385" max="385" width="33.81640625" bestFit="1" customWidth="1"/>
    <col min="386" max="386" width="29.453125" bestFit="1" customWidth="1"/>
    <col min="387" max="387" width="20.453125" bestFit="1" customWidth="1"/>
    <col min="388" max="388" width="22.54296875" bestFit="1" customWidth="1"/>
    <col min="389" max="390" width="32.54296875" bestFit="1" customWidth="1"/>
    <col min="391" max="391" width="40.54296875" bestFit="1" customWidth="1"/>
    <col min="392" max="392" width="16.54296875" bestFit="1" customWidth="1"/>
    <col min="393" max="393" width="24.54296875" bestFit="1" customWidth="1"/>
    <col min="394" max="394" width="31.453125" bestFit="1" customWidth="1"/>
    <col min="395" max="395" width="21.1796875" bestFit="1" customWidth="1"/>
    <col min="396" max="396" width="22" bestFit="1" customWidth="1"/>
    <col min="397" max="397" width="31.81640625" bestFit="1" customWidth="1"/>
    <col min="398" max="398" width="15.453125" bestFit="1" customWidth="1"/>
    <col min="399" max="399" width="36.453125" bestFit="1" customWidth="1"/>
    <col min="400" max="400" width="25" bestFit="1" customWidth="1"/>
    <col min="401" max="401" width="40" bestFit="1" customWidth="1"/>
    <col min="402" max="402" width="27.54296875" bestFit="1" customWidth="1"/>
    <col min="403" max="403" width="49.453125" bestFit="1" customWidth="1"/>
    <col min="404" max="404" width="15" bestFit="1" customWidth="1"/>
    <col min="405" max="405" width="15.453125" bestFit="1" customWidth="1"/>
    <col min="406" max="406" width="14.54296875" bestFit="1" customWidth="1"/>
    <col min="407" max="407" width="26" bestFit="1" customWidth="1"/>
    <col min="408" max="408" width="22.54296875" bestFit="1" customWidth="1"/>
    <col min="409" max="409" width="33.81640625" bestFit="1" customWidth="1"/>
    <col min="410" max="410" width="29.453125" bestFit="1" customWidth="1"/>
    <col min="411" max="411" width="20.453125" bestFit="1" customWidth="1"/>
    <col min="412" max="412" width="22.54296875" bestFit="1" customWidth="1"/>
    <col min="413" max="414" width="32.54296875" bestFit="1" customWidth="1"/>
    <col min="415" max="415" width="40.54296875" bestFit="1" customWidth="1"/>
    <col min="416" max="416" width="16.54296875" bestFit="1" customWidth="1"/>
    <col min="417" max="417" width="24.54296875" bestFit="1" customWidth="1"/>
    <col min="418" max="418" width="31.453125" bestFit="1" customWidth="1"/>
    <col min="419" max="419" width="21.1796875" bestFit="1" customWidth="1"/>
    <col min="420" max="420" width="22" bestFit="1" customWidth="1"/>
    <col min="421" max="421" width="31.81640625" bestFit="1" customWidth="1"/>
    <col min="422" max="422" width="15.453125" bestFit="1" customWidth="1"/>
    <col min="423" max="423" width="36.453125" bestFit="1" customWidth="1"/>
    <col min="424" max="424" width="25" bestFit="1" customWidth="1"/>
    <col min="425" max="425" width="40" bestFit="1" customWidth="1"/>
    <col min="426" max="426" width="27.54296875" bestFit="1" customWidth="1"/>
    <col min="427" max="427" width="35.1796875" bestFit="1" customWidth="1"/>
    <col min="428" max="428" width="15" bestFit="1" customWidth="1"/>
    <col min="429" max="429" width="15.453125" bestFit="1" customWidth="1"/>
    <col min="430" max="430" width="14.54296875" bestFit="1" customWidth="1"/>
    <col min="431" max="431" width="26" bestFit="1" customWidth="1"/>
    <col min="432" max="432" width="22.54296875" bestFit="1" customWidth="1"/>
    <col min="433" max="433" width="33.81640625" bestFit="1" customWidth="1"/>
    <col min="434" max="434" width="29.453125" bestFit="1" customWidth="1"/>
    <col min="435" max="435" width="20.453125" bestFit="1" customWidth="1"/>
    <col min="436" max="436" width="22.54296875" bestFit="1" customWidth="1"/>
    <col min="437" max="438" width="32.54296875" bestFit="1" customWidth="1"/>
    <col min="439" max="439" width="40.54296875" bestFit="1" customWidth="1"/>
    <col min="440" max="440" width="16.54296875" bestFit="1" customWidth="1"/>
    <col min="441" max="441" width="24.54296875" bestFit="1" customWidth="1"/>
    <col min="442" max="442" width="31.453125" bestFit="1" customWidth="1"/>
    <col min="443" max="443" width="21.1796875" bestFit="1" customWidth="1"/>
    <col min="444" max="444" width="22" bestFit="1" customWidth="1"/>
    <col min="445" max="445" width="31.81640625" bestFit="1" customWidth="1"/>
    <col min="446" max="446" width="15.453125" bestFit="1" customWidth="1"/>
    <col min="447" max="447" width="36.453125" bestFit="1" customWidth="1"/>
    <col min="448" max="448" width="25" bestFit="1" customWidth="1"/>
    <col min="449" max="449" width="40" bestFit="1" customWidth="1"/>
    <col min="450" max="450" width="27.54296875" bestFit="1" customWidth="1"/>
    <col min="451" max="451" width="33.453125" bestFit="1" customWidth="1"/>
    <col min="452" max="452" width="15" bestFit="1" customWidth="1"/>
    <col min="453" max="453" width="15.453125" bestFit="1" customWidth="1"/>
    <col min="454" max="454" width="14.54296875" bestFit="1" customWidth="1"/>
    <col min="455" max="455" width="26" bestFit="1" customWidth="1"/>
    <col min="456" max="456" width="22.54296875" bestFit="1" customWidth="1"/>
    <col min="457" max="457" width="33.81640625" bestFit="1" customWidth="1"/>
    <col min="458" max="458" width="29.453125" bestFit="1" customWidth="1"/>
    <col min="459" max="459" width="20.453125" bestFit="1" customWidth="1"/>
    <col min="460" max="460" width="22.54296875" bestFit="1" customWidth="1"/>
    <col min="461" max="462" width="32.54296875" bestFit="1" customWidth="1"/>
    <col min="463" max="463" width="40.54296875" bestFit="1" customWidth="1"/>
    <col min="464" max="464" width="16.54296875" bestFit="1" customWidth="1"/>
    <col min="465" max="465" width="24.54296875" bestFit="1" customWidth="1"/>
    <col min="466" max="466" width="31.453125" bestFit="1" customWidth="1"/>
    <col min="467" max="467" width="21.1796875" bestFit="1" customWidth="1"/>
    <col min="468" max="468" width="22" bestFit="1" customWidth="1"/>
    <col min="469" max="469" width="31.81640625" bestFit="1" customWidth="1"/>
    <col min="470" max="470" width="15.453125" bestFit="1" customWidth="1"/>
    <col min="471" max="471" width="36.453125" bestFit="1" customWidth="1"/>
    <col min="472" max="472" width="25" bestFit="1" customWidth="1"/>
    <col min="473" max="473" width="40" bestFit="1" customWidth="1"/>
    <col min="474" max="474" width="27.54296875" bestFit="1" customWidth="1"/>
    <col min="475" max="475" width="39.453125" bestFit="1" customWidth="1"/>
    <col min="476" max="476" width="15" bestFit="1" customWidth="1"/>
    <col min="477" max="477" width="15.453125" bestFit="1" customWidth="1"/>
    <col min="478" max="478" width="14.54296875" bestFit="1" customWidth="1"/>
    <col min="479" max="479" width="26" bestFit="1" customWidth="1"/>
    <col min="480" max="480" width="22.54296875" bestFit="1" customWidth="1"/>
    <col min="481" max="481" width="33.81640625" bestFit="1" customWidth="1"/>
    <col min="482" max="482" width="29.453125" bestFit="1" customWidth="1"/>
    <col min="483" max="483" width="20.453125" bestFit="1" customWidth="1"/>
    <col min="484" max="484" width="22.54296875" bestFit="1" customWidth="1"/>
    <col min="485" max="486" width="32.54296875" bestFit="1" customWidth="1"/>
    <col min="487" max="487" width="40.54296875" bestFit="1" customWidth="1"/>
    <col min="488" max="488" width="16.54296875" bestFit="1" customWidth="1"/>
    <col min="489" max="489" width="24.54296875" bestFit="1" customWidth="1"/>
    <col min="490" max="490" width="31.453125" bestFit="1" customWidth="1"/>
    <col min="491" max="491" width="21.1796875" bestFit="1" customWidth="1"/>
    <col min="492" max="492" width="22" bestFit="1" customWidth="1"/>
    <col min="493" max="493" width="31.81640625" bestFit="1" customWidth="1"/>
    <col min="494" max="494" width="15.453125" bestFit="1" customWidth="1"/>
    <col min="495" max="495" width="36.453125" bestFit="1" customWidth="1"/>
    <col min="496" max="496" width="25" bestFit="1" customWidth="1"/>
    <col min="497" max="497" width="40" bestFit="1" customWidth="1"/>
    <col min="498" max="498" width="27.54296875" bestFit="1" customWidth="1"/>
    <col min="499" max="499" width="35.54296875" bestFit="1" customWidth="1"/>
    <col min="500" max="500" width="15" bestFit="1" customWidth="1"/>
    <col min="501" max="501" width="15.453125" bestFit="1" customWidth="1"/>
    <col min="502" max="502" width="14.54296875" bestFit="1" customWidth="1"/>
    <col min="503" max="503" width="26" bestFit="1" customWidth="1"/>
    <col min="504" max="504" width="22.54296875" bestFit="1" customWidth="1"/>
    <col min="505" max="505" width="33.81640625" bestFit="1" customWidth="1"/>
    <col min="506" max="506" width="29.453125" bestFit="1" customWidth="1"/>
    <col min="507" max="507" width="20.453125" bestFit="1" customWidth="1"/>
    <col min="508" max="508" width="22.54296875" bestFit="1" customWidth="1"/>
    <col min="509" max="510" width="32.54296875" bestFit="1" customWidth="1"/>
    <col min="511" max="511" width="40.54296875" bestFit="1" customWidth="1"/>
    <col min="512" max="512" width="16.54296875" bestFit="1" customWidth="1"/>
    <col min="513" max="513" width="24.54296875" bestFit="1" customWidth="1"/>
    <col min="514" max="514" width="31.453125" bestFit="1" customWidth="1"/>
    <col min="515" max="515" width="21.1796875" bestFit="1" customWidth="1"/>
    <col min="516" max="516" width="22" bestFit="1" customWidth="1"/>
    <col min="517" max="517" width="31.81640625" bestFit="1" customWidth="1"/>
    <col min="518" max="518" width="15.453125" bestFit="1" customWidth="1"/>
    <col min="519" max="519" width="36.453125" bestFit="1" customWidth="1"/>
    <col min="520" max="520" width="25" bestFit="1" customWidth="1"/>
    <col min="521" max="521" width="40" bestFit="1" customWidth="1"/>
    <col min="522" max="522" width="27.54296875" bestFit="1" customWidth="1"/>
    <col min="523" max="523" width="21.453125" bestFit="1" customWidth="1"/>
    <col min="524" max="524" width="15" bestFit="1" customWidth="1"/>
    <col min="525" max="525" width="15.453125" bestFit="1" customWidth="1"/>
    <col min="526" max="526" width="14.54296875" bestFit="1" customWidth="1"/>
    <col min="527" max="527" width="26" bestFit="1" customWidth="1"/>
    <col min="528" max="528" width="22.54296875" bestFit="1" customWidth="1"/>
    <col min="529" max="529" width="33.81640625" bestFit="1" customWidth="1"/>
    <col min="530" max="530" width="29.453125" bestFit="1" customWidth="1"/>
    <col min="531" max="531" width="20.453125" bestFit="1" customWidth="1"/>
    <col min="532" max="532" width="22.54296875" bestFit="1" customWidth="1"/>
    <col min="533" max="534" width="32.54296875" bestFit="1" customWidth="1"/>
    <col min="535" max="535" width="40.54296875" bestFit="1" customWidth="1"/>
    <col min="536" max="536" width="16.54296875" bestFit="1" customWidth="1"/>
    <col min="537" max="537" width="24.54296875" bestFit="1" customWidth="1"/>
    <col min="538" max="538" width="31.453125" bestFit="1" customWidth="1"/>
    <col min="539" max="539" width="21.1796875" bestFit="1" customWidth="1"/>
    <col min="540" max="540" width="22" bestFit="1" customWidth="1"/>
    <col min="541" max="541" width="31.81640625" bestFit="1" customWidth="1"/>
    <col min="542" max="542" width="15.453125" bestFit="1" customWidth="1"/>
    <col min="543" max="543" width="36.453125" bestFit="1" customWidth="1"/>
    <col min="544" max="544" width="25" bestFit="1" customWidth="1"/>
    <col min="545" max="545" width="40" bestFit="1" customWidth="1"/>
    <col min="546" max="546" width="27.54296875" bestFit="1" customWidth="1"/>
    <col min="547" max="547" width="35.54296875" bestFit="1" customWidth="1"/>
    <col min="548" max="548" width="15" bestFit="1" customWidth="1"/>
    <col min="549" max="549" width="15.453125" bestFit="1" customWidth="1"/>
    <col min="550" max="550" width="14.54296875" bestFit="1" customWidth="1"/>
    <col min="551" max="551" width="26" bestFit="1" customWidth="1"/>
    <col min="552" max="552" width="22.54296875" bestFit="1" customWidth="1"/>
    <col min="553" max="553" width="33.81640625" bestFit="1" customWidth="1"/>
    <col min="554" max="554" width="29.453125" bestFit="1" customWidth="1"/>
    <col min="555" max="555" width="20.453125" bestFit="1" customWidth="1"/>
    <col min="556" max="556" width="22.54296875" bestFit="1" customWidth="1"/>
    <col min="557" max="558" width="32.54296875" bestFit="1" customWidth="1"/>
    <col min="559" max="559" width="40.54296875" bestFit="1" customWidth="1"/>
    <col min="560" max="560" width="16.54296875" bestFit="1" customWidth="1"/>
    <col min="561" max="561" width="24.54296875" bestFit="1" customWidth="1"/>
    <col min="562" max="562" width="31.453125" bestFit="1" customWidth="1"/>
    <col min="563" max="563" width="21.1796875" bestFit="1" customWidth="1"/>
    <col min="564" max="564" width="22" bestFit="1" customWidth="1"/>
    <col min="565" max="565" width="31.81640625" bestFit="1" customWidth="1"/>
    <col min="566" max="566" width="15.453125" bestFit="1" customWidth="1"/>
    <col min="567" max="567" width="36.453125" bestFit="1" customWidth="1"/>
    <col min="568" max="568" width="25" bestFit="1" customWidth="1"/>
    <col min="569" max="569" width="40" bestFit="1" customWidth="1"/>
    <col min="570" max="570" width="27.54296875" bestFit="1" customWidth="1"/>
  </cols>
  <sheetData>
    <row r="1" spans="1:15" ht="21" x14ac:dyDescent="0.5">
      <c r="B1" t="s">
        <v>80</v>
      </c>
      <c r="H1" s="51" t="s">
        <v>111</v>
      </c>
      <c r="J1" s="55" t="s">
        <v>145</v>
      </c>
      <c r="K1" s="90" t="s">
        <v>146</v>
      </c>
      <c r="L1" s="151" t="s">
        <v>160</v>
      </c>
      <c r="M1" s="152"/>
      <c r="N1" s="152"/>
      <c r="O1" s="152"/>
    </row>
    <row r="2" spans="1:15" hidden="1" x14ac:dyDescent="0.35">
      <c r="A2" s="61"/>
      <c r="B2" t="str" cm="1">
        <f t="array" ref="B2">_xll.EPMDimensionOverride("000","ENTITY","BAS("&amp;I7&amp;")")</f>
        <v>Expansion of ENTITY Overriden</v>
      </c>
    </row>
    <row r="3" spans="1:15" x14ac:dyDescent="0.35">
      <c r="H3" s="72" t="s">
        <v>53</v>
      </c>
      <c r="I3" s="73" t="str">
        <f>_xll.EPMModelCubeID("BMAIN")</f>
        <v>BMAIN</v>
      </c>
      <c r="J3" s="55" t="s">
        <v>107</v>
      </c>
      <c r="K3" s="151" t="s">
        <v>116</v>
      </c>
      <c r="L3" s="152"/>
      <c r="M3" s="152"/>
      <c r="N3" s="152"/>
      <c r="O3" s="153"/>
    </row>
    <row r="4" spans="1:15" x14ac:dyDescent="0.35">
      <c r="A4" t="str">
        <f>_xll.EPMReadOnlyData("000",$L$18:$L$10484)</f>
        <v>Read-only ranges definition for report '000'</v>
      </c>
      <c r="H4" s="55" t="s">
        <v>78</v>
      </c>
      <c r="I4" s="54" t="str" cm="1">
        <f t="array" ref="I4">_xll.EPMContextMember("BMAIN",H4)</f>
        <v>FC100</v>
      </c>
      <c r="J4" s="55" t="s">
        <v>108</v>
      </c>
      <c r="K4" s="151" t="s">
        <v>109</v>
      </c>
      <c r="L4" s="152"/>
      <c r="M4" s="152"/>
      <c r="N4" s="152"/>
      <c r="O4" s="153"/>
    </row>
    <row r="5" spans="1:15" x14ac:dyDescent="0.35">
      <c r="A5" s="62" t="s">
        <v>54</v>
      </c>
      <c r="B5" s="62" t="s">
        <v>36</v>
      </c>
      <c r="C5" s="62" t="s">
        <v>55</v>
      </c>
      <c r="H5" s="55" t="s">
        <v>47</v>
      </c>
      <c r="I5" s="54" t="str" cm="1">
        <f t="array" ref="I5">_xll.EPMContextMember("BMAIN",H5)</f>
        <v>2020.JAN</v>
      </c>
    </row>
    <row r="6" spans="1:15" x14ac:dyDescent="0.35">
      <c r="A6" s="57" t="s">
        <v>56</v>
      </c>
      <c r="B6" s="57">
        <v>6701000101</v>
      </c>
      <c r="C6" s="57">
        <v>1</v>
      </c>
      <c r="D6" t="str" cm="1">
        <f t="array" ref="D6">_xll.EPMMemberProperty(,B6,"PARENTH1")</f>
        <v>6701000100</v>
      </c>
      <c r="E6" t="s">
        <v>77</v>
      </c>
      <c r="H6" s="55" t="s">
        <v>79</v>
      </c>
      <c r="I6" s="54" t="str" cm="1">
        <f t="array" ref="I6">_xll.EPMContextMember("BMAIN",H6)</f>
        <v>LC</v>
      </c>
    </row>
    <row r="7" spans="1:15" x14ac:dyDescent="0.35">
      <c r="A7" s="57" t="s">
        <v>57</v>
      </c>
      <c r="B7" s="57">
        <v>6701000102</v>
      </c>
      <c r="C7" s="57">
        <v>2</v>
      </c>
      <c r="D7" t="str" cm="1">
        <f t="array" ref="D7">_xll.EPMMemberProperty(,B7,"PARENTH1")</f>
        <v>6701000100</v>
      </c>
      <c r="H7" s="55" t="s">
        <v>33</v>
      </c>
      <c r="I7" s="54" t="str" cm="1">
        <f t="array" ref="I7">_xll.EPMContextMember("BMAIN",H7)</f>
        <v>1090</v>
      </c>
      <c r="N7" s="95" t="s">
        <v>164</v>
      </c>
    </row>
    <row r="8" spans="1:15" hidden="1" x14ac:dyDescent="0.35">
      <c r="A8" s="57" t="s">
        <v>58</v>
      </c>
      <c r="B8" s="57">
        <v>6701000103</v>
      </c>
      <c r="C8" s="57">
        <v>3</v>
      </c>
      <c r="D8" t="str" cm="1">
        <f t="array" ref="D8">_xll.EPMMemberProperty(,B8,"PARENTH1")</f>
        <v>6701000100</v>
      </c>
    </row>
    <row r="9" spans="1:15" hidden="1" x14ac:dyDescent="0.35">
      <c r="A9" s="57" t="s">
        <v>59</v>
      </c>
      <c r="B9" s="57">
        <v>6701000104</v>
      </c>
      <c r="C9" s="57">
        <v>4</v>
      </c>
      <c r="D9" t="str" cm="1">
        <f t="array" ref="D9">_xll.EPMMemberProperty(,B9,"PARENTH1")</f>
        <v>6701000100</v>
      </c>
    </row>
    <row r="10" spans="1:15" hidden="1" x14ac:dyDescent="0.35">
      <c r="A10" s="57" t="s">
        <v>60</v>
      </c>
      <c r="B10" s="57">
        <v>6701000105</v>
      </c>
      <c r="C10" s="57">
        <v>5</v>
      </c>
      <c r="D10" t="str" cm="1">
        <f t="array" ref="D10">_xll.EPMMemberProperty(,B10,"PARENTH1")</f>
        <v>6701000100</v>
      </c>
      <c r="G10" s="63"/>
      <c r="J10" s="63"/>
      <c r="K10" s="63"/>
      <c r="L10" s="63"/>
    </row>
    <row r="11" spans="1:15" hidden="1" x14ac:dyDescent="0.35">
      <c r="A11" s="57" t="s">
        <v>61</v>
      </c>
      <c r="B11" s="57">
        <v>6701000106</v>
      </c>
      <c r="C11" s="57">
        <v>6</v>
      </c>
      <c r="D11" t="str" cm="1">
        <f t="array" ref="D11">_xll.EPMMemberProperty(,B11,"PARENTH1")</f>
        <v>6701000100</v>
      </c>
    </row>
    <row r="12" spans="1:15" hidden="1" x14ac:dyDescent="0.35">
      <c r="A12" s="57" t="s">
        <v>62</v>
      </c>
      <c r="B12" s="57">
        <v>6701000107</v>
      </c>
      <c r="C12" s="57">
        <v>7</v>
      </c>
      <c r="D12" t="str" cm="1">
        <f t="array" ref="D12">_xll.EPMMemberProperty(,B12,"PARENTH1")</f>
        <v>6701000100</v>
      </c>
    </row>
    <row r="13" spans="1:15" ht="16.5" hidden="1" customHeight="1" x14ac:dyDescent="0.35">
      <c r="A13" s="57" t="s">
        <v>63</v>
      </c>
      <c r="B13" s="57">
        <v>6701000108</v>
      </c>
      <c r="C13" s="57">
        <v>8</v>
      </c>
      <c r="D13" t="str" cm="1">
        <f t="array" ref="D13">_xll.EPMMemberProperty(,B13,"PARENTH1")</f>
        <v>6701000100</v>
      </c>
      <c r="L13" s="61"/>
    </row>
    <row r="14" spans="1:15" x14ac:dyDescent="0.35">
      <c r="A14" s="57" t="s">
        <v>64</v>
      </c>
      <c r="B14" s="57">
        <v>6701000109</v>
      </c>
      <c r="C14" s="57">
        <v>9</v>
      </c>
      <c r="D14" t="str" cm="1">
        <f t="array" ref="D14">_xll.EPMMemberProperty(,B14,"PARENTH1")</f>
        <v>6701000100</v>
      </c>
      <c r="L14" s="61"/>
      <c r="N14" s="96" t="str">
        <f>IF(COUNTIF(M:M,"0")=0,"OK","Error")</f>
        <v>OK</v>
      </c>
    </row>
    <row r="15" spans="1:15" ht="15" customHeight="1" x14ac:dyDescent="0.35">
      <c r="A15" s="57" t="s">
        <v>65</v>
      </c>
      <c r="B15" s="57">
        <v>6701000110</v>
      </c>
      <c r="C15" s="57">
        <v>10</v>
      </c>
      <c r="D15" t="str" cm="1">
        <f t="array" ref="D15">_xll.EPMMemberProperty(,B15,"PARENTH1")</f>
        <v>6701000100</v>
      </c>
    </row>
    <row r="16" spans="1:15" ht="34.5" customHeight="1" x14ac:dyDescent="0.35">
      <c r="A16" s="64" t="s">
        <v>66</v>
      </c>
      <c r="B16" s="64" t="s">
        <v>67</v>
      </c>
      <c r="H16" s="65" t="s">
        <v>100</v>
      </c>
      <c r="I16" s="65" t="s">
        <v>101</v>
      </c>
      <c r="J16" s="65" t="s">
        <v>104</v>
      </c>
      <c r="K16" s="65" t="s">
        <v>105</v>
      </c>
      <c r="L16" s="44" t="str">
        <f xml:space="preserve"> _xll.EPMOlapMemberO("[MEASURES].[].[YTD]","","YTD - Year To Date","","000")</f>
        <v>YTD - Year To Date</v>
      </c>
      <c r="M16" s="44" t="str">
        <f xml:space="preserve"> _xll.FPMXLClient.TechnicalCategory.EPMLocalMember("Buyer %","002","000")</f>
        <v>Buyer %</v>
      </c>
    </row>
    <row r="17" spans="1:13" hidden="1" x14ac:dyDescent="0.35">
      <c r="A17" s="66" t="e">
        <f>VLOOKUP(J10,A6:C15,2,0)</f>
        <v>#N/A</v>
      </c>
      <c r="B17" s="64" t="s">
        <v>69</v>
      </c>
      <c r="C17" s="64">
        <v>0</v>
      </c>
      <c r="D17" s="57" t="s">
        <v>70</v>
      </c>
      <c r="H17" s="43" t="str">
        <f xml:space="preserve"> _xll.EPMOlapMemberO("[ENTITY].[PARENTH1].[1090]","","1090 - Al Futtaim (Pvt) Ltd.","","000")</f>
        <v>1090 - Al Futtaim (Pvt) Ltd.</v>
      </c>
      <c r="I17" s="43" t="str">
        <f xml:space="preserve"> _xll.EPMOlapMemberO("[TPARTNER].[PARENTH1].[IC_TOTAL_THIRD]","","IC_TOTAL_THIRD - Total Intercompany and Third","","000")</f>
        <v>IC_TOTAL_THIRD - Total Intercompany and Third</v>
      </c>
      <c r="J17" s="43" t="str">
        <f xml:space="preserve"> _xll.EPMOlapMemberO("[ACCOUNT].[PARENTH1].[GCOA]","","GCOA - Group Chart of Accounts","","000")</f>
        <v>GCOA - Group Chart of Accounts</v>
      </c>
      <c r="K17" s="43" t="str">
        <f xml:space="preserve"> _xll.EPMOlapMemberO("[BFLOW].[PARENTH1].[B99]","","B99","","000")</f>
        <v>B99</v>
      </c>
      <c r="L17" s="42"/>
      <c r="M17" s="76" t="str">
        <f>_xll.EPMRetrieveData($I$3, H17, I17, "GCOA", _xll.EPMMemberProperty($I$3, K17, "PARENTH1"))</f>
        <v>Invalid member : 0</v>
      </c>
    </row>
    <row r="18" spans="1:13" x14ac:dyDescent="0.35">
      <c r="A18" s="66" t="e">
        <f>VLOOKUP(J10,A6:C15,3,0)</f>
        <v>#N/A</v>
      </c>
      <c r="B18" s="67"/>
      <c r="C18" s="67" t="str">
        <f>(CONCATENATE("=","L","17"))</f>
        <v>=L17</v>
      </c>
    </row>
    <row r="19" spans="1:13" x14ac:dyDescent="0.35">
      <c r="A19" t="str">
        <f>IF(D18&lt;&gt;0,"Refresh",A20)</f>
        <v>Refresh</v>
      </c>
    </row>
    <row r="20" spans="1:13" x14ac:dyDescent="0.35">
      <c r="A20" t="str">
        <f>IFERROR(IF(LOOKUP("Review",#REF!)="Review","Review",IF(LOOKUP("Warning",#REF!)="Warning","Warning","OK")),"Refresh")</f>
        <v>Refresh</v>
      </c>
    </row>
    <row r="21" spans="1:13" x14ac:dyDescent="0.35">
      <c r="A21" s="61"/>
    </row>
    <row r="25" spans="1:13" x14ac:dyDescent="0.35">
      <c r="B25" s="68" t="s">
        <v>71</v>
      </c>
    </row>
    <row r="26" spans="1:13" x14ac:dyDescent="0.35">
      <c r="A26" s="57" t="s">
        <v>72</v>
      </c>
      <c r="B26" s="57" t="s">
        <v>103</v>
      </c>
    </row>
    <row r="27" spans="1:13" x14ac:dyDescent="0.35">
      <c r="A27" s="57" t="s">
        <v>75</v>
      </c>
      <c r="B27" s="57" t="s">
        <v>102</v>
      </c>
      <c r="C27" s="57"/>
    </row>
    <row r="29" spans="1:13" x14ac:dyDescent="0.35">
      <c r="A29" s="68" t="e">
        <f>"SM_DST"&amp;A18</f>
        <v>#N/A</v>
      </c>
      <c r="B29" s="57" t="e">
        <f>A17</f>
        <v>#N/A</v>
      </c>
    </row>
    <row r="30" spans="1:13" x14ac:dyDescent="0.35">
      <c r="A30" s="68" t="e">
        <f>"SM_CAP"&amp;A18</f>
        <v>#N/A</v>
      </c>
      <c r="B30" s="57" t="s">
        <v>73</v>
      </c>
    </row>
    <row r="31" spans="1:13" x14ac:dyDescent="0.35">
      <c r="A31" s="68" t="e">
        <f>"SM_ST"&amp;A18</f>
        <v>#N/A</v>
      </c>
      <c r="B31" s="57" t="s">
        <v>74</v>
      </c>
    </row>
    <row r="32" spans="1:13" x14ac:dyDescent="0.35">
      <c r="A32" s="68" t="e">
        <f>"SM_EXP"&amp;A18</f>
        <v>#N/A</v>
      </c>
      <c r="B32" s="57" t="s">
        <v>76</v>
      </c>
    </row>
    <row r="35" spans="1:3" x14ac:dyDescent="0.35">
      <c r="A35" s="68" t="s">
        <v>71</v>
      </c>
    </row>
    <row r="37" spans="1:3" x14ac:dyDescent="0.35">
      <c r="A37" s="1" t="str">
        <f>_xll.EPMDimensionOverride("000","ACCOUNT",B26)</f>
        <v>Expansion of ACCOUNT Overriden</v>
      </c>
    </row>
    <row r="38" spans="1:3" x14ac:dyDescent="0.35">
      <c r="A38" s="1" t="str">
        <f>_xll.EPMDimensionOverride("000","FLOW",B27)</f>
        <v>Expansion of FLOW Overriden</v>
      </c>
    </row>
    <row r="41" spans="1:3" x14ac:dyDescent="0.35">
      <c r="A41" s="69"/>
      <c r="B41" s="69"/>
    </row>
    <row r="42" spans="1:3" x14ac:dyDescent="0.35">
      <c r="A42" s="69"/>
      <c r="B42" s="69"/>
      <c r="C42" s="61"/>
    </row>
    <row r="43" spans="1:3" x14ac:dyDescent="0.35">
      <c r="A43" s="70"/>
      <c r="B43" s="69"/>
    </row>
    <row r="44" spans="1:3" x14ac:dyDescent="0.35">
      <c r="A44" s="70"/>
      <c r="B44" s="69"/>
    </row>
    <row r="82" spans="6:6" x14ac:dyDescent="0.35">
      <c r="F82" s="49"/>
    </row>
    <row r="83" spans="6:6" x14ac:dyDescent="0.35">
      <c r="F83" s="49"/>
    </row>
    <row r="84" spans="6:6" x14ac:dyDescent="0.35">
      <c r="F84" s="49"/>
    </row>
    <row r="85" spans="6:6" x14ac:dyDescent="0.35">
      <c r="F85" s="49"/>
    </row>
    <row r="86" spans="6:6" x14ac:dyDescent="0.35">
      <c r="F86" s="49"/>
    </row>
    <row r="87" spans="6:6" x14ac:dyDescent="0.35">
      <c r="F87" s="49"/>
    </row>
    <row r="88" spans="6:6" x14ac:dyDescent="0.35">
      <c r="F88" s="49"/>
    </row>
    <row r="89" spans="6:6" x14ac:dyDescent="0.35">
      <c r="F89" s="49"/>
    </row>
    <row r="90" spans="6:6" x14ac:dyDescent="0.35">
      <c r="F90" s="49"/>
    </row>
    <row r="91" spans="6:6" x14ac:dyDescent="0.35">
      <c r="F91" s="49"/>
    </row>
    <row r="92" spans="6:6" x14ac:dyDescent="0.35">
      <c r="F92" s="49"/>
    </row>
    <row r="93" spans="6:6" x14ac:dyDescent="0.35">
      <c r="F93" s="49"/>
    </row>
    <row r="94" spans="6:6" x14ac:dyDescent="0.35">
      <c r="F94" s="49"/>
    </row>
    <row r="95" spans="6:6" x14ac:dyDescent="0.35">
      <c r="F95" s="49"/>
    </row>
    <row r="96" spans="6:6" x14ac:dyDescent="0.35">
      <c r="F96" s="49"/>
    </row>
    <row r="97" spans="6:6" x14ac:dyDescent="0.35">
      <c r="F97" s="49"/>
    </row>
    <row r="98" spans="6:6" x14ac:dyDescent="0.35">
      <c r="F98" s="49"/>
    </row>
    <row r="99" spans="6:6" x14ac:dyDescent="0.35">
      <c r="F99" s="49"/>
    </row>
    <row r="100" spans="6:6" x14ac:dyDescent="0.35">
      <c r="F100" s="49"/>
    </row>
    <row r="101" spans="6:6" x14ac:dyDescent="0.35">
      <c r="F101" s="49"/>
    </row>
    <row r="102" spans="6:6" x14ac:dyDescent="0.35">
      <c r="F102" s="49"/>
    </row>
    <row r="103" spans="6:6" x14ac:dyDescent="0.35">
      <c r="F103" s="49"/>
    </row>
    <row r="104" spans="6:6" x14ac:dyDescent="0.35">
      <c r="F104" s="49"/>
    </row>
    <row r="105" spans="6:6" x14ac:dyDescent="0.35">
      <c r="F105" s="49"/>
    </row>
    <row r="106" spans="6:6" x14ac:dyDescent="0.35">
      <c r="F106" s="49"/>
    </row>
    <row r="107" spans="6:6" x14ac:dyDescent="0.35">
      <c r="F107" s="49"/>
    </row>
    <row r="108" spans="6:6" x14ac:dyDescent="0.35">
      <c r="F108" s="49"/>
    </row>
    <row r="109" spans="6:6" x14ac:dyDescent="0.35">
      <c r="F109" s="49"/>
    </row>
    <row r="110" spans="6:6" x14ac:dyDescent="0.35">
      <c r="F110" s="49"/>
    </row>
    <row r="111" spans="6:6" x14ac:dyDescent="0.35">
      <c r="F111" s="49"/>
    </row>
    <row r="112" spans="6:6" x14ac:dyDescent="0.35">
      <c r="F112" s="49"/>
    </row>
    <row r="113" spans="6:6" x14ac:dyDescent="0.35">
      <c r="F113" s="49"/>
    </row>
    <row r="114" spans="6:6" ht="15.75" customHeight="1" x14ac:dyDescent="0.35">
      <c r="F114" s="49"/>
    </row>
    <row r="115" spans="6:6" x14ac:dyDescent="0.35">
      <c r="F115" s="49"/>
    </row>
    <row r="116" spans="6:6" x14ac:dyDescent="0.35">
      <c r="F116" s="49"/>
    </row>
    <row r="117" spans="6:6" x14ac:dyDescent="0.35">
      <c r="F117" s="49"/>
    </row>
    <row r="118" spans="6:6" x14ac:dyDescent="0.35">
      <c r="F118" s="49"/>
    </row>
    <row r="119" spans="6:6" x14ac:dyDescent="0.35">
      <c r="F119" s="49"/>
    </row>
    <row r="120" spans="6:6" x14ac:dyDescent="0.35">
      <c r="F120" s="49"/>
    </row>
    <row r="121" spans="6:6" x14ac:dyDescent="0.35">
      <c r="F121" s="49"/>
    </row>
    <row r="122" spans="6:6" x14ac:dyDescent="0.35">
      <c r="F122" s="49"/>
    </row>
    <row r="123" spans="6:6" x14ac:dyDescent="0.35">
      <c r="F123" s="49"/>
    </row>
    <row r="124" spans="6:6" x14ac:dyDescent="0.35">
      <c r="F124" s="49"/>
    </row>
    <row r="125" spans="6:6" x14ac:dyDescent="0.35">
      <c r="F125" s="49"/>
    </row>
    <row r="126" spans="6:6" x14ac:dyDescent="0.35">
      <c r="F126" s="49"/>
    </row>
    <row r="127" spans="6:6" x14ac:dyDescent="0.35">
      <c r="F127" s="49"/>
    </row>
    <row r="128" spans="6:6" x14ac:dyDescent="0.35">
      <c r="F128" s="49"/>
    </row>
    <row r="129" spans="6:6" x14ac:dyDescent="0.35">
      <c r="F129" s="49"/>
    </row>
    <row r="130" spans="6:6" x14ac:dyDescent="0.35">
      <c r="F130" s="49"/>
    </row>
    <row r="131" spans="6:6" x14ac:dyDescent="0.35">
      <c r="F131" s="49"/>
    </row>
    <row r="132" spans="6:6" x14ac:dyDescent="0.35">
      <c r="F132" s="49"/>
    </row>
    <row r="133" spans="6:6" x14ac:dyDescent="0.35">
      <c r="F133" s="49"/>
    </row>
    <row r="134" spans="6:6" x14ac:dyDescent="0.35">
      <c r="F134" s="49"/>
    </row>
    <row r="135" spans="6:6" x14ac:dyDescent="0.35">
      <c r="F135" s="49"/>
    </row>
    <row r="136" spans="6:6" x14ac:dyDescent="0.35">
      <c r="F136" s="49"/>
    </row>
    <row r="137" spans="6:6" x14ac:dyDescent="0.35">
      <c r="F137" s="49"/>
    </row>
    <row r="138" spans="6:6" x14ac:dyDescent="0.35">
      <c r="F138" s="49"/>
    </row>
    <row r="139" spans="6:6" x14ac:dyDescent="0.35">
      <c r="F139" s="49"/>
    </row>
    <row r="140" spans="6:6" x14ac:dyDescent="0.35">
      <c r="F140" s="49"/>
    </row>
    <row r="141" spans="6:6" x14ac:dyDescent="0.35">
      <c r="F141" s="49"/>
    </row>
    <row r="142" spans="6:6" x14ac:dyDescent="0.35">
      <c r="F142" s="49"/>
    </row>
    <row r="143" spans="6:6" x14ac:dyDescent="0.35">
      <c r="F143" s="49"/>
    </row>
    <row r="144" spans="6:6" x14ac:dyDescent="0.35">
      <c r="F144" s="49"/>
    </row>
    <row r="145" spans="6:6" x14ac:dyDescent="0.35">
      <c r="F145" s="49"/>
    </row>
    <row r="146" spans="6:6" x14ac:dyDescent="0.35">
      <c r="F146" s="49"/>
    </row>
    <row r="147" spans="6:6" x14ac:dyDescent="0.35">
      <c r="F147" s="49"/>
    </row>
    <row r="148" spans="6:6" x14ac:dyDescent="0.35">
      <c r="F148" s="49"/>
    </row>
    <row r="149" spans="6:6" x14ac:dyDescent="0.35">
      <c r="F149" s="49"/>
    </row>
    <row r="150" spans="6:6" x14ac:dyDescent="0.35">
      <c r="F150" s="49"/>
    </row>
    <row r="151" spans="6:6" x14ac:dyDescent="0.35">
      <c r="F151" s="49"/>
    </row>
    <row r="152" spans="6:6" x14ac:dyDescent="0.35">
      <c r="F152" s="49"/>
    </row>
    <row r="153" spans="6:6" x14ac:dyDescent="0.35">
      <c r="F153" s="49"/>
    </row>
    <row r="154" spans="6:6" x14ac:dyDescent="0.35">
      <c r="F154" s="49"/>
    </row>
    <row r="155" spans="6:6" x14ac:dyDescent="0.35">
      <c r="F155" s="49"/>
    </row>
    <row r="156" spans="6:6" x14ac:dyDescent="0.35">
      <c r="F156" s="49"/>
    </row>
    <row r="157" spans="6:6" x14ac:dyDescent="0.35">
      <c r="F157" s="49"/>
    </row>
    <row r="158" spans="6:6" x14ac:dyDescent="0.35">
      <c r="F158" s="49"/>
    </row>
    <row r="159" spans="6:6" x14ac:dyDescent="0.35">
      <c r="F159" s="49"/>
    </row>
    <row r="160" spans="6:6" x14ac:dyDescent="0.35">
      <c r="F160" s="49"/>
    </row>
    <row r="161" spans="6:6" x14ac:dyDescent="0.35">
      <c r="F161" s="49"/>
    </row>
    <row r="162" spans="6:6" x14ac:dyDescent="0.35">
      <c r="F162" s="49"/>
    </row>
    <row r="163" spans="6:6" x14ac:dyDescent="0.35">
      <c r="F163" s="49"/>
    </row>
    <row r="164" spans="6:6" x14ac:dyDescent="0.35">
      <c r="F164" s="49"/>
    </row>
    <row r="165" spans="6:6" x14ac:dyDescent="0.35">
      <c r="F165" s="49"/>
    </row>
    <row r="166" spans="6:6" x14ac:dyDescent="0.35">
      <c r="F166" s="49"/>
    </row>
    <row r="167" spans="6:6" x14ac:dyDescent="0.35">
      <c r="F167" s="49"/>
    </row>
    <row r="168" spans="6:6" x14ac:dyDescent="0.35">
      <c r="F168" s="49"/>
    </row>
    <row r="169" spans="6:6" x14ac:dyDescent="0.35">
      <c r="F169" s="49"/>
    </row>
    <row r="170" spans="6:6" x14ac:dyDescent="0.35">
      <c r="F170" s="49"/>
    </row>
    <row r="171" spans="6:6" x14ac:dyDescent="0.35">
      <c r="F171" s="49"/>
    </row>
    <row r="172" spans="6:6" x14ac:dyDescent="0.35">
      <c r="F172" s="49"/>
    </row>
    <row r="173" spans="6:6" x14ac:dyDescent="0.35">
      <c r="F173" s="49"/>
    </row>
    <row r="174" spans="6:6" x14ac:dyDescent="0.35">
      <c r="F174" s="49"/>
    </row>
    <row r="175" spans="6:6" x14ac:dyDescent="0.35">
      <c r="F175" s="49"/>
    </row>
    <row r="176" spans="6:6" x14ac:dyDescent="0.35">
      <c r="F176" s="49"/>
    </row>
    <row r="177" spans="6:6" x14ac:dyDescent="0.35">
      <c r="F177" s="49"/>
    </row>
    <row r="178" spans="6:6" x14ac:dyDescent="0.35">
      <c r="F178" s="49"/>
    </row>
    <row r="179" spans="6:6" x14ac:dyDescent="0.35">
      <c r="F179" s="49"/>
    </row>
    <row r="180" spans="6:6" x14ac:dyDescent="0.35">
      <c r="F180" s="49"/>
    </row>
    <row r="181" spans="6:6" x14ac:dyDescent="0.35">
      <c r="F181" s="49"/>
    </row>
    <row r="182" spans="6:6" x14ac:dyDescent="0.35">
      <c r="F182" s="49"/>
    </row>
    <row r="183" spans="6:6" x14ac:dyDescent="0.35">
      <c r="F183" s="49"/>
    </row>
    <row r="184" spans="6:6" x14ac:dyDescent="0.35">
      <c r="F184" s="49"/>
    </row>
    <row r="185" spans="6:6" x14ac:dyDescent="0.35">
      <c r="F185" s="49"/>
    </row>
    <row r="186" spans="6:6" x14ac:dyDescent="0.35">
      <c r="F186" s="49"/>
    </row>
    <row r="187" spans="6:6" x14ac:dyDescent="0.35">
      <c r="F187" s="49"/>
    </row>
    <row r="188" spans="6:6" x14ac:dyDescent="0.35">
      <c r="F188" s="49"/>
    </row>
    <row r="189" spans="6:6" x14ac:dyDescent="0.35">
      <c r="F189" s="49"/>
    </row>
    <row r="190" spans="6:6" x14ac:dyDescent="0.35">
      <c r="F190" s="49"/>
    </row>
    <row r="191" spans="6:6" x14ac:dyDescent="0.35">
      <c r="F191" s="49"/>
    </row>
    <row r="192" spans="6:6" x14ac:dyDescent="0.35">
      <c r="F192" s="49"/>
    </row>
    <row r="193" spans="6:6" x14ac:dyDescent="0.35">
      <c r="F193" s="49"/>
    </row>
    <row r="194" spans="6:6" x14ac:dyDescent="0.35">
      <c r="F194" s="49"/>
    </row>
    <row r="195" spans="6:6" x14ac:dyDescent="0.35">
      <c r="F195" s="49"/>
    </row>
    <row r="196" spans="6:6" x14ac:dyDescent="0.35">
      <c r="F196" s="49"/>
    </row>
    <row r="197" spans="6:6" x14ac:dyDescent="0.35">
      <c r="F197" s="49"/>
    </row>
    <row r="198" spans="6:6" x14ac:dyDescent="0.35">
      <c r="F198" s="49"/>
    </row>
    <row r="199" spans="6:6" x14ac:dyDescent="0.35">
      <c r="F199" s="49"/>
    </row>
    <row r="200" spans="6:6" x14ac:dyDescent="0.35">
      <c r="F200" s="49"/>
    </row>
    <row r="201" spans="6:6" x14ac:dyDescent="0.35">
      <c r="F201" s="49"/>
    </row>
    <row r="202" spans="6:6" x14ac:dyDescent="0.35">
      <c r="F202" s="49"/>
    </row>
    <row r="203" spans="6:6" x14ac:dyDescent="0.35">
      <c r="F203" s="49"/>
    </row>
    <row r="204" spans="6:6" x14ac:dyDescent="0.35">
      <c r="F204" s="49"/>
    </row>
    <row r="205" spans="6:6" x14ac:dyDescent="0.35">
      <c r="F205" s="49"/>
    </row>
    <row r="206" spans="6:6" x14ac:dyDescent="0.35">
      <c r="F206" s="49"/>
    </row>
    <row r="207" spans="6:6" x14ac:dyDescent="0.35">
      <c r="F207" s="49"/>
    </row>
    <row r="208" spans="6:6" x14ac:dyDescent="0.35">
      <c r="F208" s="49"/>
    </row>
    <row r="209" spans="6:6" x14ac:dyDescent="0.35">
      <c r="F209" s="49"/>
    </row>
    <row r="210" spans="6:6" x14ac:dyDescent="0.35">
      <c r="F210" s="49"/>
    </row>
    <row r="211" spans="6:6" x14ac:dyDescent="0.35">
      <c r="F211" s="49"/>
    </row>
    <row r="212" spans="6:6" x14ac:dyDescent="0.35">
      <c r="F212" s="49"/>
    </row>
    <row r="213" spans="6:6" x14ac:dyDescent="0.35">
      <c r="F213" s="49"/>
    </row>
    <row r="214" spans="6:6" x14ac:dyDescent="0.35">
      <c r="F214" s="49"/>
    </row>
    <row r="215" spans="6:6" x14ac:dyDescent="0.35">
      <c r="F215" s="49"/>
    </row>
    <row r="216" spans="6:6" x14ac:dyDescent="0.35">
      <c r="F216" s="49"/>
    </row>
    <row r="217" spans="6:6" x14ac:dyDescent="0.35">
      <c r="F217" s="49"/>
    </row>
    <row r="218" spans="6:6" x14ac:dyDescent="0.35">
      <c r="F218" s="49"/>
    </row>
    <row r="219" spans="6:6" x14ac:dyDescent="0.35">
      <c r="F219" s="49"/>
    </row>
    <row r="220" spans="6:6" x14ac:dyDescent="0.35">
      <c r="F220" s="49"/>
    </row>
    <row r="221" spans="6:6" x14ac:dyDescent="0.35">
      <c r="F221" s="49"/>
    </row>
    <row r="222" spans="6:6" x14ac:dyDescent="0.35">
      <c r="F222" s="49"/>
    </row>
    <row r="223" spans="6:6" x14ac:dyDescent="0.35">
      <c r="F223" s="49"/>
    </row>
    <row r="224" spans="6:6" x14ac:dyDescent="0.35">
      <c r="F224" s="49"/>
    </row>
    <row r="225" spans="6:6" x14ac:dyDescent="0.35">
      <c r="F225" s="49"/>
    </row>
    <row r="226" spans="6:6" x14ac:dyDescent="0.35">
      <c r="F226" s="49"/>
    </row>
    <row r="227" spans="6:6" x14ac:dyDescent="0.35">
      <c r="F227" s="49"/>
    </row>
    <row r="228" spans="6:6" x14ac:dyDescent="0.35">
      <c r="F228" s="49"/>
    </row>
    <row r="229" spans="6:6" x14ac:dyDescent="0.35">
      <c r="F229" s="49"/>
    </row>
    <row r="230" spans="6:6" x14ac:dyDescent="0.35">
      <c r="F230" s="49"/>
    </row>
    <row r="231" spans="6:6" x14ac:dyDescent="0.35">
      <c r="F231" s="49"/>
    </row>
    <row r="232" spans="6:6" x14ac:dyDescent="0.35">
      <c r="F232" s="49"/>
    </row>
    <row r="233" spans="6:6" x14ac:dyDescent="0.35">
      <c r="F233" s="49"/>
    </row>
    <row r="234" spans="6:6" x14ac:dyDescent="0.35">
      <c r="F234" s="49"/>
    </row>
    <row r="235" spans="6:6" x14ac:dyDescent="0.35">
      <c r="F235" s="49"/>
    </row>
    <row r="236" spans="6:6" x14ac:dyDescent="0.35">
      <c r="F236" s="49"/>
    </row>
    <row r="237" spans="6:6" x14ac:dyDescent="0.35">
      <c r="F237" s="49"/>
    </row>
    <row r="238" spans="6:6" x14ac:dyDescent="0.35">
      <c r="F238" s="49"/>
    </row>
    <row r="239" spans="6:6" x14ac:dyDescent="0.35">
      <c r="F239" s="49"/>
    </row>
    <row r="240" spans="6:6" x14ac:dyDescent="0.35">
      <c r="F240" s="49"/>
    </row>
    <row r="241" spans="6:6" x14ac:dyDescent="0.35">
      <c r="F241" s="49"/>
    </row>
    <row r="242" spans="6:6" x14ac:dyDescent="0.35">
      <c r="F242" s="49"/>
    </row>
    <row r="243" spans="6:6" x14ac:dyDescent="0.35">
      <c r="F243" s="49"/>
    </row>
    <row r="244" spans="6:6" x14ac:dyDescent="0.35">
      <c r="F244" s="49"/>
    </row>
    <row r="245" spans="6:6" x14ac:dyDescent="0.35">
      <c r="F245" s="49"/>
    </row>
    <row r="246" spans="6:6" x14ac:dyDescent="0.35">
      <c r="F246" s="49"/>
    </row>
    <row r="247" spans="6:6" x14ac:dyDescent="0.35">
      <c r="F247" s="49"/>
    </row>
    <row r="248" spans="6:6" x14ac:dyDescent="0.35">
      <c r="F248" s="49"/>
    </row>
    <row r="249" spans="6:6" x14ac:dyDescent="0.35">
      <c r="F249" s="49"/>
    </row>
    <row r="250" spans="6:6" x14ac:dyDescent="0.35">
      <c r="F250" s="49"/>
    </row>
    <row r="251" spans="6:6" x14ac:dyDescent="0.35">
      <c r="F251" s="49"/>
    </row>
    <row r="252" spans="6:6" x14ac:dyDescent="0.35">
      <c r="F252" s="49"/>
    </row>
    <row r="253" spans="6:6" x14ac:dyDescent="0.35">
      <c r="F253" s="49"/>
    </row>
    <row r="254" spans="6:6" x14ac:dyDescent="0.35">
      <c r="F254" s="49"/>
    </row>
    <row r="255" spans="6:6" x14ac:dyDescent="0.35">
      <c r="F255" s="49"/>
    </row>
    <row r="256" spans="6:6" x14ac:dyDescent="0.35">
      <c r="F256" s="49"/>
    </row>
    <row r="257" spans="6:6" x14ac:dyDescent="0.35">
      <c r="F257" s="49"/>
    </row>
    <row r="258" spans="6:6" x14ac:dyDescent="0.35">
      <c r="F258" s="49"/>
    </row>
    <row r="259" spans="6:6" x14ac:dyDescent="0.35">
      <c r="F259" s="49"/>
    </row>
    <row r="260" spans="6:6" x14ac:dyDescent="0.35">
      <c r="F260" s="49"/>
    </row>
    <row r="261" spans="6:6" x14ac:dyDescent="0.35">
      <c r="F261" s="49"/>
    </row>
    <row r="262" spans="6:6" x14ac:dyDescent="0.35">
      <c r="F262" s="49"/>
    </row>
    <row r="263" spans="6:6" x14ac:dyDescent="0.35">
      <c r="F263" s="49"/>
    </row>
    <row r="264" spans="6:6" x14ac:dyDescent="0.35">
      <c r="F264" s="49"/>
    </row>
    <row r="265" spans="6:6" x14ac:dyDescent="0.35">
      <c r="F265" s="49"/>
    </row>
    <row r="266" spans="6:6" x14ac:dyDescent="0.35">
      <c r="F266" s="49"/>
    </row>
    <row r="267" spans="6:6" x14ac:dyDescent="0.35">
      <c r="F267" s="49"/>
    </row>
    <row r="268" spans="6:6" x14ac:dyDescent="0.35">
      <c r="F268" s="49"/>
    </row>
    <row r="269" spans="6:6" x14ac:dyDescent="0.35">
      <c r="F269" s="49"/>
    </row>
    <row r="270" spans="6:6" x14ac:dyDescent="0.35">
      <c r="F270" s="49"/>
    </row>
    <row r="271" spans="6:6" x14ac:dyDescent="0.35">
      <c r="F271" s="49"/>
    </row>
    <row r="272" spans="6:6" x14ac:dyDescent="0.35">
      <c r="F272" s="49"/>
    </row>
    <row r="273" spans="6:6" x14ac:dyDescent="0.35">
      <c r="F273" s="49"/>
    </row>
    <row r="274" spans="6:6" x14ac:dyDescent="0.35">
      <c r="F274" s="49"/>
    </row>
    <row r="275" spans="6:6" x14ac:dyDescent="0.35">
      <c r="F275" s="49"/>
    </row>
    <row r="276" spans="6:6" x14ac:dyDescent="0.35">
      <c r="F276" s="49"/>
    </row>
    <row r="277" spans="6:6" x14ac:dyDescent="0.35">
      <c r="F277" s="49"/>
    </row>
    <row r="278" spans="6:6" x14ac:dyDescent="0.35">
      <c r="F278" s="49"/>
    </row>
    <row r="279" spans="6:6" x14ac:dyDescent="0.35">
      <c r="F279" s="49"/>
    </row>
    <row r="280" spans="6:6" x14ac:dyDescent="0.35">
      <c r="F280" s="49"/>
    </row>
    <row r="281" spans="6:6" x14ac:dyDescent="0.35">
      <c r="F281" s="49"/>
    </row>
    <row r="282" spans="6:6" x14ac:dyDescent="0.35">
      <c r="F282" s="49"/>
    </row>
    <row r="283" spans="6:6" x14ac:dyDescent="0.35">
      <c r="F283" s="49"/>
    </row>
    <row r="284" spans="6:6" x14ac:dyDescent="0.35">
      <c r="F284" s="49"/>
    </row>
    <row r="285" spans="6:6" x14ac:dyDescent="0.35">
      <c r="F285" s="49"/>
    </row>
    <row r="286" spans="6:6" x14ac:dyDescent="0.35">
      <c r="F286" s="49"/>
    </row>
    <row r="287" spans="6:6" x14ac:dyDescent="0.35">
      <c r="F287" s="49"/>
    </row>
    <row r="288" spans="6:6" x14ac:dyDescent="0.35">
      <c r="F288" s="49"/>
    </row>
    <row r="289" spans="6:6" x14ac:dyDescent="0.35">
      <c r="F289" s="49"/>
    </row>
    <row r="290" spans="6:6" x14ac:dyDescent="0.35">
      <c r="F290" s="49"/>
    </row>
    <row r="291" spans="6:6" x14ac:dyDescent="0.35">
      <c r="F291" s="49"/>
    </row>
    <row r="292" spans="6:6" x14ac:dyDescent="0.35">
      <c r="F292" s="49"/>
    </row>
    <row r="293" spans="6:6" x14ac:dyDescent="0.35">
      <c r="F293" s="49"/>
    </row>
    <row r="294" spans="6:6" x14ac:dyDescent="0.35">
      <c r="F294" s="49"/>
    </row>
    <row r="295" spans="6:6" x14ac:dyDescent="0.35">
      <c r="F295" s="49"/>
    </row>
    <row r="296" spans="6:6" x14ac:dyDescent="0.35">
      <c r="F296" s="49"/>
    </row>
    <row r="297" spans="6:6" x14ac:dyDescent="0.35">
      <c r="F297" s="49"/>
    </row>
    <row r="298" spans="6:6" x14ac:dyDescent="0.35">
      <c r="F298" s="49"/>
    </row>
    <row r="299" spans="6:6" x14ac:dyDescent="0.35">
      <c r="F299" s="49"/>
    </row>
    <row r="300" spans="6:6" x14ac:dyDescent="0.35">
      <c r="F300" s="49"/>
    </row>
    <row r="301" spans="6:6" x14ac:dyDescent="0.35">
      <c r="F301" s="49"/>
    </row>
    <row r="302" spans="6:6" x14ac:dyDescent="0.35">
      <c r="F302" s="49"/>
    </row>
    <row r="303" spans="6:6" x14ac:dyDescent="0.35">
      <c r="F303" s="49"/>
    </row>
    <row r="304" spans="6:6" x14ac:dyDescent="0.35">
      <c r="F304" s="49"/>
    </row>
    <row r="305" spans="6:6" x14ac:dyDescent="0.35">
      <c r="F305" s="49"/>
    </row>
    <row r="306" spans="6:6" x14ac:dyDescent="0.35">
      <c r="F306" s="49"/>
    </row>
    <row r="307" spans="6:6" x14ac:dyDescent="0.35">
      <c r="F307" s="49"/>
    </row>
    <row r="308" spans="6:6" x14ac:dyDescent="0.35">
      <c r="F308" s="49"/>
    </row>
    <row r="309" spans="6:6" x14ac:dyDescent="0.35">
      <c r="F309" s="49"/>
    </row>
    <row r="310" spans="6:6" x14ac:dyDescent="0.35">
      <c r="F310" s="49"/>
    </row>
    <row r="311" spans="6:6" x14ac:dyDescent="0.35">
      <c r="F311" s="49"/>
    </row>
    <row r="312" spans="6:6" x14ac:dyDescent="0.35">
      <c r="F312" s="49"/>
    </row>
    <row r="313" spans="6:6" x14ac:dyDescent="0.35">
      <c r="F313" s="49"/>
    </row>
    <row r="314" spans="6:6" x14ac:dyDescent="0.35">
      <c r="F314" s="49"/>
    </row>
    <row r="315" spans="6:6" x14ac:dyDescent="0.35">
      <c r="F315" s="49"/>
    </row>
    <row r="316" spans="6:6" x14ac:dyDescent="0.35">
      <c r="F316" s="49"/>
    </row>
    <row r="317" spans="6:6" x14ac:dyDescent="0.35">
      <c r="F317" s="49"/>
    </row>
    <row r="318" spans="6:6" x14ac:dyDescent="0.35">
      <c r="F318" s="49"/>
    </row>
    <row r="319" spans="6:6" x14ac:dyDescent="0.35">
      <c r="F319" s="49"/>
    </row>
    <row r="320" spans="6:6" x14ac:dyDescent="0.35">
      <c r="F320" s="49"/>
    </row>
    <row r="321" spans="6:6" x14ac:dyDescent="0.35">
      <c r="F321" s="49"/>
    </row>
    <row r="322" spans="6:6" x14ac:dyDescent="0.35">
      <c r="F322" s="49"/>
    </row>
    <row r="323" spans="6:6" x14ac:dyDescent="0.35">
      <c r="F323" s="49"/>
    </row>
    <row r="324" spans="6:6" x14ac:dyDescent="0.35">
      <c r="F324" s="49"/>
    </row>
    <row r="325" spans="6:6" x14ac:dyDescent="0.35">
      <c r="F325" s="49"/>
    </row>
    <row r="326" spans="6:6" x14ac:dyDescent="0.35">
      <c r="F326" s="49"/>
    </row>
    <row r="327" spans="6:6" x14ac:dyDescent="0.35">
      <c r="F327" s="49"/>
    </row>
    <row r="328" spans="6:6" x14ac:dyDescent="0.35">
      <c r="F328" s="49"/>
    </row>
    <row r="329" spans="6:6" x14ac:dyDescent="0.35">
      <c r="F329" s="49"/>
    </row>
    <row r="330" spans="6:6" x14ac:dyDescent="0.35">
      <c r="F330" s="49"/>
    </row>
    <row r="331" spans="6:6" x14ac:dyDescent="0.35">
      <c r="F331" s="49"/>
    </row>
    <row r="332" spans="6:6" x14ac:dyDescent="0.35">
      <c r="F332" s="49"/>
    </row>
    <row r="333" spans="6:6" x14ac:dyDescent="0.35">
      <c r="F333" s="49"/>
    </row>
    <row r="334" spans="6:6" x14ac:dyDescent="0.35">
      <c r="F334" s="49"/>
    </row>
    <row r="335" spans="6:6" x14ac:dyDescent="0.35">
      <c r="F335" s="49"/>
    </row>
    <row r="336" spans="6:6" x14ac:dyDescent="0.35">
      <c r="F336" s="49"/>
    </row>
    <row r="337" spans="6:6" x14ac:dyDescent="0.35">
      <c r="F337" s="49"/>
    </row>
    <row r="338" spans="6:6" x14ac:dyDescent="0.35">
      <c r="F338" s="49"/>
    </row>
    <row r="339" spans="6:6" x14ac:dyDescent="0.35">
      <c r="F339" s="49"/>
    </row>
    <row r="340" spans="6:6" x14ac:dyDescent="0.35">
      <c r="F340" s="49"/>
    </row>
    <row r="341" spans="6:6" x14ac:dyDescent="0.35">
      <c r="F341" s="49"/>
    </row>
    <row r="342" spans="6:6" x14ac:dyDescent="0.35">
      <c r="F342" s="49"/>
    </row>
    <row r="343" spans="6:6" x14ac:dyDescent="0.35">
      <c r="F343" s="49"/>
    </row>
    <row r="344" spans="6:6" x14ac:dyDescent="0.35">
      <c r="F344" s="49"/>
    </row>
    <row r="345" spans="6:6" x14ac:dyDescent="0.35">
      <c r="F345" s="49"/>
    </row>
    <row r="346" spans="6:6" x14ac:dyDescent="0.35">
      <c r="F346" s="49"/>
    </row>
    <row r="347" spans="6:6" x14ac:dyDescent="0.35">
      <c r="F347" s="49"/>
    </row>
    <row r="348" spans="6:6" x14ac:dyDescent="0.35">
      <c r="F348" s="49"/>
    </row>
    <row r="349" spans="6:6" x14ac:dyDescent="0.35">
      <c r="F349" s="49"/>
    </row>
    <row r="350" spans="6:6" x14ac:dyDescent="0.35">
      <c r="F350" s="49"/>
    </row>
    <row r="351" spans="6:6" x14ac:dyDescent="0.35">
      <c r="F351" s="49"/>
    </row>
    <row r="352" spans="6:6" x14ac:dyDescent="0.35">
      <c r="F352" s="49"/>
    </row>
    <row r="353" spans="6:6" x14ac:dyDescent="0.35">
      <c r="F353" s="49"/>
    </row>
    <row r="354" spans="6:6" x14ac:dyDescent="0.35">
      <c r="F354" s="49"/>
    </row>
    <row r="355" spans="6:6" x14ac:dyDescent="0.35">
      <c r="F355" s="49"/>
    </row>
    <row r="356" spans="6:6" x14ac:dyDescent="0.35">
      <c r="F356" s="49"/>
    </row>
    <row r="357" spans="6:6" x14ac:dyDescent="0.35">
      <c r="F357" s="49"/>
    </row>
    <row r="358" spans="6:6" x14ac:dyDescent="0.35">
      <c r="F358" s="49"/>
    </row>
    <row r="359" spans="6:6" x14ac:dyDescent="0.35">
      <c r="F359" s="49"/>
    </row>
    <row r="360" spans="6:6" x14ac:dyDescent="0.35">
      <c r="F360" s="49"/>
    </row>
    <row r="361" spans="6:6" x14ac:dyDescent="0.35">
      <c r="F361" s="49"/>
    </row>
    <row r="362" spans="6:6" x14ac:dyDescent="0.35">
      <c r="F362" s="49"/>
    </row>
    <row r="363" spans="6:6" x14ac:dyDescent="0.35">
      <c r="F363" s="49"/>
    </row>
    <row r="364" spans="6:6" x14ac:dyDescent="0.35">
      <c r="F364" s="49"/>
    </row>
    <row r="365" spans="6:6" x14ac:dyDescent="0.35">
      <c r="F365" s="49"/>
    </row>
    <row r="366" spans="6:6" x14ac:dyDescent="0.35">
      <c r="F366" s="49"/>
    </row>
    <row r="367" spans="6:6" x14ac:dyDescent="0.35">
      <c r="F367" s="49"/>
    </row>
    <row r="368" spans="6:6" x14ac:dyDescent="0.35">
      <c r="F368" s="49"/>
    </row>
    <row r="369" spans="6:6" x14ac:dyDescent="0.35">
      <c r="F369" s="49"/>
    </row>
    <row r="370" spans="6:6" x14ac:dyDescent="0.35">
      <c r="F370" s="49"/>
    </row>
    <row r="371" spans="6:6" x14ac:dyDescent="0.35">
      <c r="F371" s="49"/>
    </row>
    <row r="372" spans="6:6" x14ac:dyDescent="0.35">
      <c r="F372" s="49"/>
    </row>
    <row r="373" spans="6:6" x14ac:dyDescent="0.35">
      <c r="F373" s="49"/>
    </row>
    <row r="374" spans="6:6" x14ac:dyDescent="0.35">
      <c r="F374" s="49"/>
    </row>
    <row r="375" spans="6:6" x14ac:dyDescent="0.35">
      <c r="F375" s="49"/>
    </row>
    <row r="376" spans="6:6" x14ac:dyDescent="0.35">
      <c r="F376" s="49"/>
    </row>
    <row r="377" spans="6:6" x14ac:dyDescent="0.35">
      <c r="F377" s="49"/>
    </row>
    <row r="378" spans="6:6" x14ac:dyDescent="0.35">
      <c r="F378" s="49"/>
    </row>
    <row r="379" spans="6:6" x14ac:dyDescent="0.35">
      <c r="F379" s="49"/>
    </row>
    <row r="380" spans="6:6" x14ac:dyDescent="0.35">
      <c r="F380" s="49"/>
    </row>
    <row r="381" spans="6:6" x14ac:dyDescent="0.35">
      <c r="F381" s="49"/>
    </row>
    <row r="382" spans="6:6" x14ac:dyDescent="0.35">
      <c r="F382" s="49"/>
    </row>
    <row r="383" spans="6:6" x14ac:dyDescent="0.35">
      <c r="F383" s="49"/>
    </row>
    <row r="384" spans="6:6" x14ac:dyDescent="0.35">
      <c r="F384" s="49"/>
    </row>
    <row r="385" spans="6:6" x14ac:dyDescent="0.35">
      <c r="F385" s="49"/>
    </row>
    <row r="386" spans="6:6" x14ac:dyDescent="0.35">
      <c r="F386" s="49"/>
    </row>
    <row r="387" spans="6:6" x14ac:dyDescent="0.35">
      <c r="F387" s="49"/>
    </row>
    <row r="388" spans="6:6" x14ac:dyDescent="0.35">
      <c r="F388" s="49"/>
    </row>
    <row r="389" spans="6:6" x14ac:dyDescent="0.35">
      <c r="F389" s="49"/>
    </row>
    <row r="390" spans="6:6" x14ac:dyDescent="0.35">
      <c r="F390" s="49"/>
    </row>
    <row r="391" spans="6:6" x14ac:dyDescent="0.35">
      <c r="F391" s="49"/>
    </row>
    <row r="392" spans="6:6" x14ac:dyDescent="0.35">
      <c r="F392" s="49"/>
    </row>
    <row r="393" spans="6:6" x14ac:dyDescent="0.35">
      <c r="F393" s="49"/>
    </row>
    <row r="394" spans="6:6" x14ac:dyDescent="0.35">
      <c r="F394" s="49"/>
    </row>
    <row r="395" spans="6:6" x14ac:dyDescent="0.35">
      <c r="F395" s="49"/>
    </row>
    <row r="396" spans="6:6" x14ac:dyDescent="0.35">
      <c r="F396" s="49"/>
    </row>
    <row r="397" spans="6:6" x14ac:dyDescent="0.35">
      <c r="F397" s="49"/>
    </row>
    <row r="398" spans="6:6" x14ac:dyDescent="0.35">
      <c r="F398" s="49"/>
    </row>
    <row r="399" spans="6:6" x14ac:dyDescent="0.35">
      <c r="F399" s="49"/>
    </row>
    <row r="400" spans="6:6" x14ac:dyDescent="0.35">
      <c r="F400" s="49"/>
    </row>
    <row r="401" spans="6:6" x14ac:dyDescent="0.35">
      <c r="F401" s="49"/>
    </row>
    <row r="402" spans="6:6" x14ac:dyDescent="0.35">
      <c r="F402" s="49"/>
    </row>
    <row r="403" spans="6:6" x14ac:dyDescent="0.35">
      <c r="F403" s="49"/>
    </row>
    <row r="404" spans="6:6" x14ac:dyDescent="0.35">
      <c r="F404" s="49"/>
    </row>
    <row r="405" spans="6:6" x14ac:dyDescent="0.35">
      <c r="F405" s="49"/>
    </row>
    <row r="406" spans="6:6" x14ac:dyDescent="0.35">
      <c r="F406" s="49"/>
    </row>
    <row r="407" spans="6:6" x14ac:dyDescent="0.35">
      <c r="F407" s="49"/>
    </row>
    <row r="408" spans="6:6" x14ac:dyDescent="0.35">
      <c r="F408" s="49"/>
    </row>
    <row r="409" spans="6:6" x14ac:dyDescent="0.35">
      <c r="F409" s="49"/>
    </row>
    <row r="410" spans="6:6" x14ac:dyDescent="0.35">
      <c r="F410" s="49"/>
    </row>
    <row r="411" spans="6:6" x14ac:dyDescent="0.35">
      <c r="F411" s="49"/>
    </row>
    <row r="412" spans="6:6" x14ac:dyDescent="0.35">
      <c r="F412" s="49"/>
    </row>
    <row r="413" spans="6:6" x14ac:dyDescent="0.35">
      <c r="F413" s="49"/>
    </row>
    <row r="414" spans="6:6" x14ac:dyDescent="0.35">
      <c r="F414" s="49"/>
    </row>
    <row r="415" spans="6:6" x14ac:dyDescent="0.35">
      <c r="F415" s="49"/>
    </row>
    <row r="416" spans="6:6" x14ac:dyDescent="0.35">
      <c r="F416" s="49"/>
    </row>
    <row r="417" spans="6:6" x14ac:dyDescent="0.35">
      <c r="F417" s="49"/>
    </row>
    <row r="418" spans="6:6" x14ac:dyDescent="0.35">
      <c r="F418" s="49"/>
    </row>
    <row r="419" spans="6:6" x14ac:dyDescent="0.35">
      <c r="F419" s="49"/>
    </row>
    <row r="420" spans="6:6" x14ac:dyDescent="0.35">
      <c r="F420" s="49"/>
    </row>
    <row r="421" spans="6:6" x14ac:dyDescent="0.35">
      <c r="F421" s="49"/>
    </row>
    <row r="422" spans="6:6" x14ac:dyDescent="0.35">
      <c r="F422" s="49"/>
    </row>
    <row r="423" spans="6:6" x14ac:dyDescent="0.35">
      <c r="F423" s="49"/>
    </row>
    <row r="424" spans="6:6" x14ac:dyDescent="0.35">
      <c r="F424" s="49"/>
    </row>
    <row r="425" spans="6:6" x14ac:dyDescent="0.35">
      <c r="F425" s="49"/>
    </row>
    <row r="426" spans="6:6" x14ac:dyDescent="0.35">
      <c r="F426" s="49"/>
    </row>
    <row r="427" spans="6:6" x14ac:dyDescent="0.35">
      <c r="F427" s="49"/>
    </row>
    <row r="428" spans="6:6" x14ac:dyDescent="0.35">
      <c r="F428" s="49"/>
    </row>
    <row r="429" spans="6:6" x14ac:dyDescent="0.35">
      <c r="F429" s="49"/>
    </row>
    <row r="430" spans="6:6" x14ac:dyDescent="0.35">
      <c r="F430" s="49"/>
    </row>
    <row r="431" spans="6:6" x14ac:dyDescent="0.35">
      <c r="F431" s="49"/>
    </row>
    <row r="432" spans="6:6" x14ac:dyDescent="0.35">
      <c r="F432" s="49"/>
    </row>
    <row r="433" spans="6:6" x14ac:dyDescent="0.35">
      <c r="F433" s="49"/>
    </row>
    <row r="434" spans="6:6" x14ac:dyDescent="0.35">
      <c r="F434" s="49"/>
    </row>
    <row r="435" spans="6:6" x14ac:dyDescent="0.35">
      <c r="F435" s="49"/>
    </row>
    <row r="436" spans="6:6" x14ac:dyDescent="0.35">
      <c r="F436" s="49"/>
    </row>
  </sheetData>
  <sheetProtection formatCells="0" formatColumns="0" formatRows="0" insertColumns="0" insertRows="0" insertHyperlinks="0" deleteColumns="0" deleteRows="0" sort="0" autoFilter="0" pivotTables="0"/>
  <autoFilter ref="H16:M1038" xr:uid="{F61D6596-6485-4346-AD34-902ED1E85951}"/>
  <mergeCells count="3">
    <mergeCell ref="K3:O3"/>
    <mergeCell ref="K4:O4"/>
    <mergeCell ref="L1:O1"/>
  </mergeCells>
  <conditionalFormatting sqref="M17">
    <cfRule type="cellIs" dxfId="3" priority="1" operator="equal">
      <formula>1</formula>
    </cfRule>
    <cfRule type="cellIs" dxfId="2" priority="2" operator="notEqual">
      <formula>1</formula>
    </cfRule>
  </conditionalFormatting>
  <conditionalFormatting sqref="N14">
    <cfRule type="cellIs" dxfId="1" priority="43" operator="notEqual">
      <formula>"OK"</formula>
    </cfRule>
    <cfRule type="cellIs" dxfId="0" priority="44" operator="equal">
      <formula>"OK"</formula>
    </cfRule>
  </conditionalFormatting>
  <pageMargins left="0.7" right="0.7" top="0.75" bottom="0.75" header="0.3" footer="0.3"/>
  <pageSetup paperSize="9" orientation="portrait" r:id="rId1"/>
  <headerFooter>
    <oddFooter>&amp;C_x000D_&amp;1#&amp;"Calibri"&amp;10&amp;K000000 Restricted : General Al-Futtaim Group</oddFooter>
  </headerFooter>
  <customProperties>
    <customPr name="_pios_id" r:id="rId2"/>
    <customPr name="EpmWorksheetKeyString_GUID" r:id="rId3"/>
    <customPr name="FPMExcelClientCellBasedFunctionStatus" r:id="rId4"/>
    <customPr name="FPMExcelClientRefreshTime" r:id="rId5"/>
  </customProperties>
  <drawing r:id="rId6"/>
  <legacyDrawing r:id="rId7"/>
  <controls>
    <mc:AlternateContent xmlns:mc="http://schemas.openxmlformats.org/markup-compatibility/2006">
      <mc:Choice Requires="x14">
        <control shapeId="112641" r:id="rId8" name="FPMExcelClientSheetOptions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1" r:id="rId8" name="FPMExcelClientSheetOptionstb1"/>
      </mc:Fallback>
    </mc:AlternateContent>
    <mc:AlternateContent xmlns:mc="http://schemas.openxmlformats.org/markup-compatibility/2006">
      <mc:Choice Requires="x14">
        <control shapeId="112642" r:id="rId10" name="ConnectionDescriptorsInfo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2" r:id="rId10" name="ConnectionDescriptorsInfotb1"/>
      </mc:Fallback>
    </mc:AlternateContent>
    <mc:AlternateContent xmlns:mc="http://schemas.openxmlformats.org/markup-compatibility/2006">
      <mc:Choice Requires="x14">
        <control shapeId="112643" r:id="rId11" name="MultipleReportManagerInfo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3" r:id="rId11" name="MultipleReportManagerInfotb1"/>
      </mc:Fallback>
    </mc:AlternateContent>
    <mc:AlternateContent xmlns:mc="http://schemas.openxmlformats.org/markup-compatibility/2006">
      <mc:Choice Requires="x14">
        <control shapeId="112644" r:id="rId12" name="AnalyzerDynReport00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4" r:id="rId12" name="AnalyzerDynReport000tb1"/>
      </mc:Fallback>
    </mc:AlternateContent>
    <mc:AlternateContent xmlns:mc="http://schemas.openxmlformats.org/markup-compatibility/2006">
      <mc:Choice Requires="x14">
        <control shapeId="112645" r:id="rId13" name="AnalyzerDynReport001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112645" r:id="rId13" name="AnalyzerDynReport001tb1"/>
      </mc:Fallback>
    </mc:AlternateContent>
    <mc:AlternateContent xmlns:mc="http://schemas.openxmlformats.org/markup-compatibility/2006">
      <mc:Choice Requires="x14">
        <control shapeId="112646" r:id="rId15" name="AnalyzerDynReport002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112646" r:id="rId15" name="AnalyzerDynReport002tb1"/>
      </mc:Fallback>
    </mc:AlternateContent>
    <mc:AlternateContent xmlns:mc="http://schemas.openxmlformats.org/markup-compatibility/2006">
      <mc:Choice Requires="x14">
        <control shapeId="112647" r:id="rId16" name="AnalyzerDynReport003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112647" r:id="rId16" name="AnalyzerDynReport003tb1"/>
      </mc:Fallback>
    </mc:AlternateContent>
    <mc:AlternateContent xmlns:mc="http://schemas.openxmlformats.org/markup-compatibility/2006">
      <mc:Choice Requires="x14">
        <control shapeId="112648" r:id="rId17" name="ReportSubmitManagerControl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8" r:id="rId17" name="ReportSubmitManagerControltb1"/>
      </mc:Fallback>
    </mc:AlternateContent>
    <mc:AlternateContent xmlns:mc="http://schemas.openxmlformats.org/markup-compatibility/2006">
      <mc:Choice Requires="x14">
        <control shapeId="112649" r:id="rId18" name="ReportSubmitControl_1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49" r:id="rId18" name="ReportSubmitControl_1tb1"/>
      </mc:Fallback>
    </mc:AlternateContent>
    <mc:AlternateContent xmlns:mc="http://schemas.openxmlformats.org/markup-compatibility/2006">
      <mc:Choice Requires="x14">
        <control shapeId="112650" r:id="rId19" name="ReportSubmitControl_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50" r:id="rId19" name="ReportSubmitControl_2tb1"/>
      </mc:Fallback>
    </mc:AlternateContent>
    <mc:AlternateContent xmlns:mc="http://schemas.openxmlformats.org/markup-compatibility/2006">
      <mc:Choice Requires="x14">
        <control shapeId="112651" r:id="rId20" name="ReportSubmitControl_3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51" r:id="rId20" name="ReportSubmitControl_3tb1"/>
      </mc:Fallback>
    </mc:AlternateContent>
    <mc:AlternateContent xmlns:mc="http://schemas.openxmlformats.org/markup-compatibility/2006">
      <mc:Choice Requires="x14">
        <control shapeId="112652" r:id="rId21" name="ReportSubmitControl_4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12652" r:id="rId21" name="ReportSubmitControl_4tb1"/>
      </mc:Fallback>
    </mc:AlternateContent>
    <mc:AlternateContent xmlns:mc="http://schemas.openxmlformats.org/markup-compatibility/2006">
      <mc:Choice Requires="x14">
        <control shapeId="112653" r:id="rId22" name="CustomMemberDispatchertb1">
          <controlPr defaultSize="0" autoLine="0" autoPict="0" r:id="rId23">
            <anchor moveWithCells="1" sizeWithCells="1">
              <from>
                <xdr:col>0</xdr:col>
                <xdr:colOff>0</xdr:colOff>
                <xdr:row>0</xdr:row>
                <xdr:rowOff>0</xdr:rowOff>
              </from>
              <to>
                <xdr:col>7</xdr:col>
                <xdr:colOff>774700</xdr:colOff>
                <xdr:row>0</xdr:row>
                <xdr:rowOff>0</xdr:rowOff>
              </to>
            </anchor>
          </controlPr>
        </control>
      </mc:Choice>
      <mc:Fallback>
        <control shapeId="112653" r:id="rId22" name="CustomMemberDispatchertb1"/>
      </mc:Fallback>
    </mc:AlternateContent>
  </controls>
</worksheet>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EPMFormattingSheet</vt:lpstr>
      <vt:lpstr>FRMT_BUYER</vt:lpstr>
      <vt:lpstr>FRMT_Seller</vt:lpstr>
      <vt:lpstr>Instructions</vt:lpstr>
      <vt:lpstr>EPMFormatting_VAL</vt:lpstr>
      <vt:lpstr>EPMFormatting_VAL_GRP</vt:lpstr>
      <vt:lpstr>Validations Group</vt:lpstr>
      <vt:lpstr>Validations</vt:lpstr>
      <vt:lpstr>Missing Seller %</vt:lpstr>
      <vt:lpstr>Missing Buyer %</vt:lpstr>
      <vt:lpstr>'Missing Buyer %'!Data_Validation</vt:lpstr>
      <vt:lpstr>'Missing Buyer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Obaidullah Shaikh-Business Partner</dc:creator>
  <cp:lastModifiedBy>Praharaj, Gourahari</cp:lastModifiedBy>
  <dcterms:created xsi:type="dcterms:W3CDTF">2022-08-29T05:31:23Z</dcterms:created>
  <dcterms:modified xsi:type="dcterms:W3CDTF">2026-02-09T08:48:01Z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b038a4-b690-439f-9fce-f9c106be0ae1_Enabled">
    <vt:lpwstr>true</vt:lpwstr>
  </property>
  <property fmtid="{D5CDD505-2E9C-101B-9397-08002B2CF9AE}" pid="3" name="MSIP_Label_a8b038a4-b690-439f-9fce-f9c106be0ae1_SetDate">
    <vt:lpwstr>2024-06-13T13:23:00Z</vt:lpwstr>
  </property>
  <property fmtid="{D5CDD505-2E9C-101B-9397-08002B2CF9AE}" pid="4" name="MSIP_Label_a8b038a4-b690-439f-9fce-f9c106be0ae1_Method">
    <vt:lpwstr>Standard</vt:lpwstr>
  </property>
  <property fmtid="{D5CDD505-2E9C-101B-9397-08002B2CF9AE}" pid="5" name="MSIP_Label_a8b038a4-b690-439f-9fce-f9c106be0ae1_Name">
    <vt:lpwstr>Restricted - No Encryption</vt:lpwstr>
  </property>
  <property fmtid="{D5CDD505-2E9C-101B-9397-08002B2CF9AE}" pid="6" name="MSIP_Label_a8b038a4-b690-439f-9fce-f9c106be0ae1_SiteId">
    <vt:lpwstr>79ddd250-40e1-4d41-ba0f-c9e9849725cb</vt:lpwstr>
  </property>
  <property fmtid="{D5CDD505-2E9C-101B-9397-08002B2CF9AE}" pid="7" name="MSIP_Label_a8b038a4-b690-439f-9fce-f9c106be0ae1_ActionId">
    <vt:lpwstr>14364475-0800-4570-8214-04e64ba27e41</vt:lpwstr>
  </property>
  <property fmtid="{D5CDD505-2E9C-101B-9397-08002B2CF9AE}" pid="8" name="MSIP_Label_a8b038a4-b690-439f-9fce-f9c106be0ae1_ContentBits">
    <vt:lpwstr>2</vt:lpwstr>
  </property>
</Properties>
</file>